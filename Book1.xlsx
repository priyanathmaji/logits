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102025\App\logits\logits\"/>
    </mc:Choice>
  </mc:AlternateContent>
  <xr:revisionPtr revIDLastSave="0" documentId="13_ncr:1_{939FFDDF-DEE5-4234-A953-99A726993896}" xr6:coauthVersionLast="47" xr6:coauthVersionMax="47" xr10:uidLastSave="{00000000-0000-0000-0000-000000000000}"/>
  <bookViews>
    <workbookView xWindow="-108" yWindow="-108" windowWidth="23256" windowHeight="12456" activeTab="1" xr2:uid="{38CDF928-8236-4176-B75A-BDB19F1E8536}"/>
  </bookViews>
  <sheets>
    <sheet name="PE - Fixe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P34" i="1"/>
  <c r="P33" i="1"/>
  <c r="O34" i="1"/>
  <c r="O33" i="1"/>
  <c r="N34" i="1"/>
  <c r="M34" i="1"/>
  <c r="L34" i="1"/>
  <c r="K34" i="1"/>
  <c r="J34" i="1"/>
  <c r="I34" i="1"/>
  <c r="H34" i="1"/>
  <c r="G34" i="1"/>
  <c r="F34" i="1"/>
  <c r="E34" i="1"/>
  <c r="D34" i="1"/>
  <c r="C34" i="1"/>
  <c r="N33" i="1"/>
  <c r="M33" i="1"/>
  <c r="L33" i="1"/>
  <c r="K33" i="1"/>
  <c r="J33" i="1"/>
  <c r="I33" i="1"/>
  <c r="H33" i="1"/>
  <c r="G33" i="1"/>
  <c r="F33" i="1"/>
  <c r="E33" i="1"/>
  <c r="D33" i="1"/>
  <c r="C33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I17" i="1"/>
  <c r="H17" i="1"/>
  <c r="F8" i="1"/>
  <c r="N25" i="1"/>
  <c r="N35" i="1" s="1"/>
  <c r="M25" i="1"/>
  <c r="M35" i="1" s="1"/>
  <c r="L25" i="1"/>
  <c r="L26" i="1" s="1"/>
  <c r="K25" i="1"/>
  <c r="K30" i="1" s="1"/>
  <c r="J25" i="1"/>
  <c r="J30" i="1" s="1"/>
  <c r="I25" i="1"/>
  <c r="I30" i="1" s="1"/>
  <c r="H25" i="1"/>
  <c r="H30" i="1" s="1"/>
  <c r="G25" i="1"/>
  <c r="G30" i="1" s="1"/>
  <c r="F25" i="1"/>
  <c r="F35" i="1" s="1"/>
  <c r="E25" i="1"/>
  <c r="E35" i="1" s="1"/>
  <c r="D25" i="1"/>
  <c r="D26" i="1" s="1"/>
  <c r="C25" i="1"/>
  <c r="C30" i="1" s="1"/>
  <c r="N24" i="1"/>
  <c r="M24" i="1"/>
  <c r="L24" i="1"/>
  <c r="K24" i="1"/>
  <c r="J24" i="1"/>
  <c r="I24" i="1"/>
  <c r="H24" i="1"/>
  <c r="G24" i="1"/>
  <c r="F24" i="1"/>
  <c r="E24" i="1"/>
  <c r="D24" i="1"/>
  <c r="C24" i="1"/>
  <c r="N16" i="1"/>
  <c r="N17" i="1" s="1"/>
  <c r="M16" i="1"/>
  <c r="M17" i="1" s="1"/>
  <c r="L16" i="1"/>
  <c r="L17" i="1" s="1"/>
  <c r="K16" i="1"/>
  <c r="K17" i="1" s="1"/>
  <c r="J16" i="1"/>
  <c r="J17" i="1" s="1"/>
  <c r="I16" i="1"/>
  <c r="H16" i="1"/>
  <c r="G16" i="1"/>
  <c r="G17" i="1" s="1"/>
  <c r="F16" i="1"/>
  <c r="F17" i="1" s="1"/>
  <c r="E16" i="1"/>
  <c r="E17" i="1" s="1"/>
  <c r="D16" i="1"/>
  <c r="D17" i="1" s="1"/>
  <c r="C16" i="1"/>
  <c r="C17" i="1" s="1"/>
  <c r="B18" i="1" s="1"/>
  <c r="N15" i="1"/>
  <c r="M15" i="1"/>
  <c r="L15" i="1"/>
  <c r="K15" i="1"/>
  <c r="J15" i="1"/>
  <c r="I15" i="1"/>
  <c r="H15" i="1"/>
  <c r="G15" i="1"/>
  <c r="F15" i="1"/>
  <c r="E15" i="1"/>
  <c r="D15" i="1"/>
  <c r="C15" i="1"/>
  <c r="N7" i="1"/>
  <c r="N8" i="1" s="1"/>
  <c r="J7" i="1"/>
  <c r="J8" i="1" s="1"/>
  <c r="F7" i="1"/>
  <c r="L7" i="1"/>
  <c r="L8" i="1" s="1"/>
  <c r="H7" i="1"/>
  <c r="H8" i="1" s="1"/>
  <c r="D7" i="1"/>
  <c r="D8" i="1" s="1"/>
  <c r="M7" i="1"/>
  <c r="M8" i="1" s="1"/>
  <c r="N6" i="1"/>
  <c r="M6" i="1"/>
  <c r="I7" i="1"/>
  <c r="I8" i="1" s="1"/>
  <c r="J6" i="1"/>
  <c r="I6" i="1"/>
  <c r="F6" i="1"/>
  <c r="E7" i="1"/>
  <c r="E8" i="1" s="1"/>
  <c r="E6" i="1"/>
  <c r="L6" i="1"/>
  <c r="K6" i="1"/>
  <c r="H6" i="1"/>
  <c r="G6" i="1"/>
  <c r="K7" i="1"/>
  <c r="K8" i="1" s="1"/>
  <c r="G7" i="1"/>
  <c r="G8" i="1" s="1"/>
  <c r="C7" i="1"/>
  <c r="C8" i="1" s="1"/>
  <c r="D6" i="1"/>
  <c r="C6" i="1"/>
  <c r="G7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N2" i="2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D2" i="2"/>
  <c r="E2" i="2" s="1"/>
  <c r="F2" i="2" s="1"/>
  <c r="G2" i="2" s="1"/>
  <c r="H2" i="2" s="1"/>
  <c r="I2" i="2" s="1"/>
  <c r="J2" i="2" s="1"/>
  <c r="K2" i="2" s="1"/>
  <c r="L2" i="2" s="1"/>
  <c r="M2" i="2" s="1"/>
  <c r="C2" i="2"/>
  <c r="G26" i="1" l="1"/>
  <c r="N26" i="1"/>
  <c r="H35" i="1"/>
  <c r="I35" i="1"/>
  <c r="J35" i="1"/>
  <c r="C35" i="1"/>
  <c r="F26" i="1"/>
  <c r="H26" i="1"/>
  <c r="G35" i="1"/>
  <c r="E26" i="1"/>
  <c r="M26" i="1"/>
  <c r="D30" i="1"/>
  <c r="L30" i="1"/>
  <c r="N30" i="1"/>
  <c r="I26" i="1"/>
  <c r="K35" i="1"/>
  <c r="J26" i="1"/>
  <c r="D35" i="1"/>
  <c r="L35" i="1"/>
  <c r="E30" i="1"/>
  <c r="M30" i="1"/>
  <c r="F30" i="1"/>
  <c r="C26" i="1"/>
  <c r="B27" i="1" s="1"/>
  <c r="K26" i="1"/>
  <c r="B9" i="1"/>
  <c r="O35" i="1" l="1"/>
  <c r="P35" i="1" s="1"/>
  <c r="O30" i="1"/>
  <c r="P30" i="1" s="1"/>
</calcChain>
</file>

<file path=xl/sharedStrings.xml><?xml version="1.0" encoding="utf-8"?>
<sst xmlns="http://schemas.openxmlformats.org/spreadsheetml/2006/main" count="63" uniqueCount="14">
  <si>
    <t>pos:</t>
  </si>
  <si>
    <t>i:</t>
  </si>
  <si>
    <t>PE</t>
  </si>
  <si>
    <t>d:</t>
  </si>
  <si>
    <t>SIN</t>
  </si>
  <si>
    <t>COS</t>
  </si>
  <si>
    <t>theta</t>
  </si>
  <si>
    <t>COSINE SIMILARITY</t>
  </si>
  <si>
    <t>POS2</t>
  </si>
  <si>
    <t>POS3</t>
  </si>
  <si>
    <t>POS4</t>
  </si>
  <si>
    <t>POS5</t>
  </si>
  <si>
    <t>POS7</t>
  </si>
  <si>
    <t>POS10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</si>
</sst>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8" formatCode="0.00000000000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0" fontId="1" fillId="4" borderId="1" xfId="0" applyFont="1" applyFill="1" applyBorder="1"/>
    <xf numFmtId="165" fontId="1" fillId="0" borderId="3" xfId="0" applyNumberFormat="1" applyFont="1" applyBorder="1" applyAlignment="1">
      <alignment horizontal="left"/>
    </xf>
    <xf numFmtId="0" fontId="1" fillId="0" borderId="3" xfId="0" applyFont="1" applyBorder="1"/>
    <xf numFmtId="165" fontId="1" fillId="5" borderId="3" xfId="0" applyNumberFormat="1" applyFont="1" applyFill="1" applyBorder="1"/>
    <xf numFmtId="165" fontId="1" fillId="0" borderId="3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left"/>
    </xf>
    <xf numFmtId="168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 vs cos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Sheet2!$B$2:$BS$2</c:f>
              <c:numCache>
                <c:formatCode>General</c:formatCode>
                <c:ptCount val="7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</c:numCache>
            </c:numRef>
          </c:cat>
          <c:val>
            <c:numRef>
              <c:f>Sheet2!$B$3:$BS$3</c:f>
              <c:numCache>
                <c:formatCode>General</c:formatCode>
                <c:ptCount val="70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0.2955202066613396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0.71735609089952268</c:v>
                </c:pt>
                <c:pt idx="9">
                  <c:v>0.7833269096274833</c:v>
                </c:pt>
                <c:pt idx="10">
                  <c:v>0.84147098480789639</c:v>
                </c:pt>
                <c:pt idx="11">
                  <c:v>0.89120736006143531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0.98544972998846025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0.97384763087819504</c:v>
                </c:pt>
                <c:pt idx="19">
                  <c:v>0.94630008768741425</c:v>
                </c:pt>
                <c:pt idx="20">
                  <c:v>0.90929742682568149</c:v>
                </c:pt>
                <c:pt idx="21">
                  <c:v>0.86320936664887349</c:v>
                </c:pt>
                <c:pt idx="22">
                  <c:v>0.80849640381958987</c:v>
                </c:pt>
                <c:pt idx="23">
                  <c:v>0.7457052121767197</c:v>
                </c:pt>
                <c:pt idx="24">
                  <c:v>0.67546318055115029</c:v>
                </c:pt>
                <c:pt idx="25">
                  <c:v>0.59847214410395577</c:v>
                </c:pt>
                <c:pt idx="26">
                  <c:v>0.51550137182146338</c:v>
                </c:pt>
                <c:pt idx="27">
                  <c:v>0.42737988023382895</c:v>
                </c:pt>
                <c:pt idx="28">
                  <c:v>0.33498815015590383</c:v>
                </c:pt>
                <c:pt idx="29">
                  <c:v>0.23924932921398112</c:v>
                </c:pt>
                <c:pt idx="30">
                  <c:v>0.14112000805986591</c:v>
                </c:pt>
                <c:pt idx="31">
                  <c:v>4.1580662433289159E-2</c:v>
                </c:pt>
                <c:pt idx="32">
                  <c:v>-5.8374143427581418E-2</c:v>
                </c:pt>
                <c:pt idx="33">
                  <c:v>-0.15774569414324996</c:v>
                </c:pt>
                <c:pt idx="34">
                  <c:v>-0.25554110202683294</c:v>
                </c:pt>
                <c:pt idx="35">
                  <c:v>-0.3507832276896215</c:v>
                </c:pt>
                <c:pt idx="36">
                  <c:v>-0.44252044329485407</c:v>
                </c:pt>
                <c:pt idx="37">
                  <c:v>-0.52983614090849485</c:v>
                </c:pt>
                <c:pt idx="38">
                  <c:v>-0.61185789094272069</c:v>
                </c:pt>
                <c:pt idx="39">
                  <c:v>-0.68776615918397532</c:v>
                </c:pt>
                <c:pt idx="40">
                  <c:v>-0.75680249530792942</c:v>
                </c:pt>
                <c:pt idx="41">
                  <c:v>-0.81827711106441137</c:v>
                </c:pt>
                <c:pt idx="42">
                  <c:v>-0.87157577241358863</c:v>
                </c:pt>
                <c:pt idx="43">
                  <c:v>-0.91616593674945523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-0.99616460883584079</c:v>
                </c:pt>
                <c:pt idx="49">
                  <c:v>-0.98245261262433281</c:v>
                </c:pt>
                <c:pt idx="50">
                  <c:v>-0.95892427466313901</c:v>
                </c:pt>
                <c:pt idx="51">
                  <c:v>-0.92581468232773312</c:v>
                </c:pt>
                <c:pt idx="52">
                  <c:v>-0.88345465572015447</c:v>
                </c:pt>
                <c:pt idx="53">
                  <c:v>-0.8322674422239027</c:v>
                </c:pt>
                <c:pt idx="54">
                  <c:v>-0.77276448755598937</c:v>
                </c:pt>
                <c:pt idx="55">
                  <c:v>-0.70554032557039448</c:v>
                </c:pt>
                <c:pt idx="56">
                  <c:v>-0.63126663787232429</c:v>
                </c:pt>
                <c:pt idx="57">
                  <c:v>-0.55068554259764135</c:v>
                </c:pt>
                <c:pt idx="58">
                  <c:v>-0.46460217941376131</c:v>
                </c:pt>
                <c:pt idx="59">
                  <c:v>-0.37387666483024096</c:v>
                </c:pt>
                <c:pt idx="60">
                  <c:v>-0.27941549819893097</c:v>
                </c:pt>
                <c:pt idx="61">
                  <c:v>-0.18216250427210112</c:v>
                </c:pt>
                <c:pt idx="62">
                  <c:v>-8.30894028175026E-2</c:v>
                </c:pt>
                <c:pt idx="63">
                  <c:v>1.6813900484343496E-2</c:v>
                </c:pt>
                <c:pt idx="64">
                  <c:v>0.11654920485048659</c:v>
                </c:pt>
                <c:pt idx="65">
                  <c:v>0.21511998808780858</c:v>
                </c:pt>
                <c:pt idx="66">
                  <c:v>0.31154136351337108</c:v>
                </c:pt>
                <c:pt idx="67">
                  <c:v>0.40484992061659103</c:v>
                </c:pt>
                <c:pt idx="68">
                  <c:v>0.49411335113860122</c:v>
                </c:pt>
                <c:pt idx="69">
                  <c:v>0.57843976438819289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6-4304-9F3D-A05419202991}"/>
            </c:ext>
          </c:extLst>
        </c:ser>
        <c:ser>
          <c:idx val="1"/>
          <c:order val="1"/>
          <c:tx>
            <c:v>cos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Sheet2!$B$2:$BS$2</c:f>
              <c:numCache>
                <c:formatCode>General</c:formatCode>
                <c:ptCount val="7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</c:numCache>
            </c:numRef>
          </c:cat>
          <c:val>
            <c:numRef>
              <c:f>Sheet2!$B$4:$BS$4</c:f>
              <c:numCache>
                <c:formatCode>General</c:formatCode>
                <c:ptCount val="70"/>
                <c:pt idx="0">
                  <c:v>1</c:v>
                </c:pt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0.9210609940028851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0.7648421872844885</c:v>
                </c:pt>
                <c:pt idx="8">
                  <c:v>0.6967067093471655</c:v>
                </c:pt>
                <c:pt idx="9">
                  <c:v>0.6216099682706645</c:v>
                </c:pt>
                <c:pt idx="10">
                  <c:v>0.54030230586813977</c:v>
                </c:pt>
                <c:pt idx="11">
                  <c:v>0.45359612142557748</c:v>
                </c:pt>
                <c:pt idx="12">
                  <c:v>0.36235775447667362</c:v>
                </c:pt>
                <c:pt idx="13">
                  <c:v>0.26749882862458735</c:v>
                </c:pt>
                <c:pt idx="14">
                  <c:v>0.16996714290024081</c:v>
                </c:pt>
                <c:pt idx="15">
                  <c:v>7.0737201667702684E-2</c:v>
                </c:pt>
                <c:pt idx="16">
                  <c:v>-2.9199522301289037E-2</c:v>
                </c:pt>
                <c:pt idx="17">
                  <c:v>-0.12884449429552508</c:v>
                </c:pt>
                <c:pt idx="18">
                  <c:v>-0.22720209469308753</c:v>
                </c:pt>
                <c:pt idx="19">
                  <c:v>-0.32328956686350396</c:v>
                </c:pt>
                <c:pt idx="20">
                  <c:v>-0.4161468365471428</c:v>
                </c:pt>
                <c:pt idx="21">
                  <c:v>-0.5048461045998579</c:v>
                </c:pt>
                <c:pt idx="22">
                  <c:v>-0.58850111725534626</c:v>
                </c:pt>
                <c:pt idx="23">
                  <c:v>-0.66627602127982477</c:v>
                </c:pt>
                <c:pt idx="24">
                  <c:v>-0.737393715541246</c:v>
                </c:pt>
                <c:pt idx="25">
                  <c:v>-0.80114361554693425</c:v>
                </c:pt>
                <c:pt idx="26">
                  <c:v>-0.85688875336894776</c:v>
                </c:pt>
                <c:pt idx="27">
                  <c:v>-0.90407214201706165</c:v>
                </c:pt>
                <c:pt idx="28">
                  <c:v>-0.94222234066865851</c:v>
                </c:pt>
                <c:pt idx="29">
                  <c:v>-0.97095816514959077</c:v>
                </c:pt>
                <c:pt idx="30">
                  <c:v>-0.98999249660044564</c:v>
                </c:pt>
                <c:pt idx="31">
                  <c:v>-0.99913515027327948</c:v>
                </c:pt>
                <c:pt idx="32">
                  <c:v>-0.99829477579475301</c:v>
                </c:pt>
                <c:pt idx="33">
                  <c:v>-0.98747976990886466</c:v>
                </c:pt>
                <c:pt idx="34">
                  <c:v>-0.96679819257946054</c:v>
                </c:pt>
                <c:pt idx="35">
                  <c:v>-0.93645668729079568</c:v>
                </c:pt>
                <c:pt idx="36">
                  <c:v>-0.89675841633414621</c:v>
                </c:pt>
                <c:pt idx="37">
                  <c:v>-0.84810003171040715</c:v>
                </c:pt>
                <c:pt idx="38">
                  <c:v>-0.79096771191441551</c:v>
                </c:pt>
                <c:pt idx="39">
                  <c:v>-0.72593230420013866</c:v>
                </c:pt>
                <c:pt idx="40">
                  <c:v>-0.65364362086361061</c:v>
                </c:pt>
                <c:pt idx="41">
                  <c:v>-0.57482394653326774</c:v>
                </c:pt>
                <c:pt idx="42">
                  <c:v>-0.49026082134069865</c:v>
                </c:pt>
                <c:pt idx="43">
                  <c:v>-0.40079917207997462</c:v>
                </c:pt>
                <c:pt idx="44">
                  <c:v>-0.30733286997841935</c:v>
                </c:pt>
                <c:pt idx="45">
                  <c:v>-0.2107957994307797</c:v>
                </c:pt>
                <c:pt idx="46">
                  <c:v>-0.11215252693505487</c:v>
                </c:pt>
                <c:pt idx="47">
                  <c:v>-1.2388663462891449E-2</c:v>
                </c:pt>
                <c:pt idx="48">
                  <c:v>8.749898343944551E-2</c:v>
                </c:pt>
                <c:pt idx="49">
                  <c:v>0.18651236942257401</c:v>
                </c:pt>
                <c:pt idx="50">
                  <c:v>0.28366218546322458</c:v>
                </c:pt>
                <c:pt idx="51">
                  <c:v>0.37797774271297857</c:v>
                </c:pt>
                <c:pt idx="52">
                  <c:v>0.46851667130037478</c:v>
                </c:pt>
                <c:pt idx="53">
                  <c:v>0.55437433617915854</c:v>
                </c:pt>
                <c:pt idx="54">
                  <c:v>0.63469287594263191</c:v>
                </c:pt>
                <c:pt idx="55">
                  <c:v>0.70866977429125755</c:v>
                </c:pt>
                <c:pt idx="56">
                  <c:v>0.77556587851024728</c:v>
                </c:pt>
                <c:pt idx="57">
                  <c:v>0.83471278483915734</c:v>
                </c:pt>
                <c:pt idx="58">
                  <c:v>0.88551951694131681</c:v>
                </c:pt>
                <c:pt idx="59">
                  <c:v>0.92747843074403391</c:v>
                </c:pt>
                <c:pt idx="60">
                  <c:v>0.96017028665036452</c:v>
                </c:pt>
                <c:pt idx="61">
                  <c:v>0.9832684384425836</c:v>
                </c:pt>
                <c:pt idx="62">
                  <c:v>0.99654209702321694</c:v>
                </c:pt>
                <c:pt idx="63">
                  <c:v>0.99985863638341521</c:v>
                </c:pt>
                <c:pt idx="64">
                  <c:v>0.99318491875819348</c:v>
                </c:pt>
                <c:pt idx="65">
                  <c:v>0.97658762572802504</c:v>
                </c:pt>
                <c:pt idx="66">
                  <c:v>0.95023259195853182</c:v>
                </c:pt>
                <c:pt idx="67">
                  <c:v>0.91438314823532263</c:v>
                </c:pt>
                <c:pt idx="68">
                  <c:v>0.86939749034982916</c:v>
                </c:pt>
                <c:pt idx="69">
                  <c:v>0.81572510012536203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6-4304-9F3D-A0541920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861760"/>
        <c:axId val="1881855040"/>
      </c:lineChart>
      <c:catAx>
        <c:axId val="18818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55040"/>
        <c:crosses val="autoZero"/>
        <c:auto val="1"/>
        <c:lblAlgn val="ctr"/>
        <c:lblOffset val="100"/>
        <c:noMultiLvlLbl val="0"/>
      </c:catAx>
      <c:valAx>
        <c:axId val="18818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102876</xdr:rowOff>
    </xdr:from>
    <xdr:to>
      <xdr:col>52</xdr:col>
      <xdr:colOff>38100</xdr:colOff>
      <xdr:row>21</xdr:row>
      <xdr:rowOff>135261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DEF01-4CA6-F9FA-AD7E-E4DEB88AF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6A21-F47E-4BCE-8458-50B77D308620}">
  <dimension ref="B2:S35"/>
  <sheetViews>
    <sheetView showGridLines="0" topLeftCell="A2" workbookViewId="0">
      <selection activeCell="S23" sqref="S23"/>
    </sheetView>
  </sheetViews>
  <sheetFormatPr defaultRowHeight="14.4" x14ac:dyDescent="0.3"/>
  <cols>
    <col min="2" max="2" width="5.5546875" style="3" customWidth="1"/>
    <col min="3" max="3" width="6" style="3" customWidth="1"/>
    <col min="4" max="4" width="6.109375" style="3" bestFit="1" customWidth="1"/>
    <col min="5" max="14" width="5.5546875" style="3" bestFit="1" customWidth="1"/>
    <col min="16" max="16" width="13.77734375" bestFit="1" customWidth="1"/>
  </cols>
  <sheetData>
    <row r="2" spans="2:19" x14ac:dyDescent="0.3">
      <c r="B2" s="2" t="s">
        <v>3</v>
      </c>
      <c r="C2" s="2">
        <v>12</v>
      </c>
    </row>
    <row r="3" spans="2:19" x14ac:dyDescent="0.3">
      <c r="B3" s="4" t="s">
        <v>0</v>
      </c>
      <c r="C3" s="4">
        <v>2</v>
      </c>
    </row>
    <row r="4" spans="2:19" x14ac:dyDescent="0.3">
      <c r="B4" s="2" t="s">
        <v>1</v>
      </c>
      <c r="C4" s="5">
        <v>0</v>
      </c>
      <c r="D4" s="5">
        <v>0</v>
      </c>
      <c r="E4" s="7">
        <v>1</v>
      </c>
      <c r="F4" s="7">
        <v>1</v>
      </c>
      <c r="G4" s="9">
        <v>2</v>
      </c>
      <c r="H4" s="9">
        <v>2</v>
      </c>
      <c r="I4" s="7">
        <v>3</v>
      </c>
      <c r="J4" s="7">
        <v>3</v>
      </c>
      <c r="K4" s="9">
        <v>4</v>
      </c>
      <c r="L4" s="9">
        <v>4</v>
      </c>
      <c r="M4" s="7">
        <v>5</v>
      </c>
      <c r="N4" s="7">
        <v>5</v>
      </c>
    </row>
    <row r="5" spans="2:19" x14ac:dyDescent="0.3">
      <c r="B5" s="2"/>
      <c r="C5" s="5" t="s">
        <v>4</v>
      </c>
      <c r="D5" s="5" t="s">
        <v>5</v>
      </c>
      <c r="E5" s="7" t="s">
        <v>4</v>
      </c>
      <c r="F5" s="7" t="s">
        <v>5</v>
      </c>
      <c r="G5" s="9" t="s">
        <v>4</v>
      </c>
      <c r="H5" s="9" t="s">
        <v>5</v>
      </c>
      <c r="I5" s="7" t="s">
        <v>4</v>
      </c>
      <c r="J5" s="7" t="s">
        <v>5</v>
      </c>
      <c r="K5" s="9" t="s">
        <v>4</v>
      </c>
      <c r="L5" s="9" t="s">
        <v>5</v>
      </c>
      <c r="M5" s="7" t="s">
        <v>4</v>
      </c>
      <c r="N5" s="7" t="s">
        <v>5</v>
      </c>
    </row>
    <row r="6" spans="2:19" x14ac:dyDescent="0.3">
      <c r="B6" s="2" t="s">
        <v>6</v>
      </c>
      <c r="C6" s="6">
        <f>$C3/(10000^(2*C4/$C$2))</f>
        <v>2</v>
      </c>
      <c r="D6" s="6">
        <f>$C3/(10000^(2*D4/$C$2))</f>
        <v>2</v>
      </c>
      <c r="E6" s="7">
        <f>$C3/(10000^(2*E4/$C$2))</f>
        <v>0.43088693800637673</v>
      </c>
      <c r="F6" s="7">
        <f>$C3/(10000^(2*F4/$C$2))</f>
        <v>0.43088693800637673</v>
      </c>
      <c r="G6" s="6">
        <f t="shared" ref="G6:J6" si="0">$C3/(10000^(2*G4/$C$2))</f>
        <v>9.2831776672255562E-2</v>
      </c>
      <c r="H6" s="6">
        <f t="shared" si="0"/>
        <v>9.2831776672255562E-2</v>
      </c>
      <c r="I6" s="7">
        <f t="shared" si="0"/>
        <v>0.02</v>
      </c>
      <c r="J6" s="7">
        <f t="shared" si="0"/>
        <v>0.02</v>
      </c>
      <c r="K6" s="6">
        <f t="shared" ref="K6:N6" si="1">$C3/(10000^(2*K4/$C$2))</f>
        <v>4.3088693800637651E-3</v>
      </c>
      <c r="L6" s="6">
        <f t="shared" si="1"/>
        <v>4.3088693800637651E-3</v>
      </c>
      <c r="M6" s="7">
        <f t="shared" si="1"/>
        <v>9.2831776672255514E-4</v>
      </c>
      <c r="N6" s="7">
        <f t="shared" si="1"/>
        <v>9.2831776672255514E-4</v>
      </c>
    </row>
    <row r="7" spans="2:19" x14ac:dyDescent="0.3">
      <c r="B7" s="2" t="s">
        <v>2</v>
      </c>
      <c r="C7" s="6">
        <f>SIN($C3/(10000^(2*C4/$C$2)))</f>
        <v>0.90929742682568171</v>
      </c>
      <c r="D7" s="6">
        <f>COS($C3/(10000^(2*D4/$C$2)))</f>
        <v>-0.41614683654714241</v>
      </c>
      <c r="E7" s="8">
        <f>SIN($C3/(10000^(2*E4/$C$2)))</f>
        <v>0.41767683462581268</v>
      </c>
      <c r="F7" s="8">
        <f>COS($C3/(10000^(2*F4/$C$2)))</f>
        <v>0.90859565364190553</v>
      </c>
      <c r="G7" s="6">
        <f>SIN($C3/(10000^(2*G4/$C$2)))</f>
        <v>9.2698500778727211E-2</v>
      </c>
      <c r="H7" s="6">
        <f>COS($C3/(10000^(2*H4/$C$2)))</f>
        <v>0.99569422412373987</v>
      </c>
      <c r="I7" s="8">
        <f>SIN($C3/(10000^(2*I4/$C$2)))</f>
        <v>1.999866669333308E-2</v>
      </c>
      <c r="J7" s="8">
        <f>COS($C3/(10000^(2*J4/$C$2)))</f>
        <v>0.99980000666657776</v>
      </c>
      <c r="K7" s="6">
        <f>SIN($C3/(10000^(2*K4/$C$2)))</f>
        <v>4.3088560467428091E-3</v>
      </c>
      <c r="L7" s="6">
        <f>COS($C3/(10000^(2*L4/$C$2)))</f>
        <v>0.99999071683669571</v>
      </c>
      <c r="M7" s="8">
        <f>SIN($C3/(10000^(2*M4/$C$2)))</f>
        <v>9.2831763338922758E-4</v>
      </c>
      <c r="N7" s="8">
        <f>COS($C3/(10000^(2*N4/$C$2)))</f>
        <v>0.99999956911309296</v>
      </c>
    </row>
    <row r="8" spans="2:19" hidden="1" x14ac:dyDescent="0.3">
      <c r="B8" s="11"/>
      <c r="C8" s="12" t="str">
        <f>TEXT(C7, "#,##0.00")</f>
        <v>0.91</v>
      </c>
      <c r="D8" s="12" t="str">
        <f t="shared" ref="D8:N8" si="2">TEXT(D7, "#,##0.00")</f>
        <v>-0.42</v>
      </c>
      <c r="E8" s="12" t="str">
        <f t="shared" si="2"/>
        <v>0.42</v>
      </c>
      <c r="F8" s="12" t="str">
        <f t="shared" si="2"/>
        <v>0.91</v>
      </c>
      <c r="G8" s="12" t="str">
        <f t="shared" si="2"/>
        <v>0.09</v>
      </c>
      <c r="H8" s="12" t="str">
        <f t="shared" si="2"/>
        <v>1.00</v>
      </c>
      <c r="I8" s="12" t="str">
        <f t="shared" si="2"/>
        <v>0.02</v>
      </c>
      <c r="J8" s="12" t="str">
        <f t="shared" si="2"/>
        <v>1.00</v>
      </c>
      <c r="K8" s="12" t="str">
        <f t="shared" si="2"/>
        <v>0.00</v>
      </c>
      <c r="L8" s="12" t="str">
        <f t="shared" si="2"/>
        <v>1.00</v>
      </c>
      <c r="M8" s="12" t="str">
        <f t="shared" si="2"/>
        <v>0.00</v>
      </c>
      <c r="N8" s="12" t="str">
        <f t="shared" si="2"/>
        <v>1.00</v>
      </c>
    </row>
    <row r="9" spans="2:19" x14ac:dyDescent="0.3">
      <c r="B9" s="10" t="str">
        <f>"PE=[" &amp; _xlfn.TEXTJOIN(", ", TRUE, C8:N8) &amp; "]"</f>
        <v>PE=[0.91, -0.42, 0.42, 0.91, 0.09, 1.00, 0.02, 1.00, 0.00, 1.00, 0.00, 1.00]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1" spans="2:19" x14ac:dyDescent="0.3">
      <c r="B11" s="2" t="s">
        <v>3</v>
      </c>
      <c r="C11" s="2">
        <v>12</v>
      </c>
    </row>
    <row r="12" spans="2:19" x14ac:dyDescent="0.3">
      <c r="B12" s="4" t="s">
        <v>0</v>
      </c>
      <c r="C12" s="4">
        <v>3</v>
      </c>
      <c r="Q12" s="16" t="s">
        <v>7</v>
      </c>
    </row>
    <row r="13" spans="2:19" x14ac:dyDescent="0.3">
      <c r="B13" s="2" t="s">
        <v>1</v>
      </c>
      <c r="C13" s="5">
        <v>0</v>
      </c>
      <c r="D13" s="5">
        <v>0</v>
      </c>
      <c r="E13" s="7">
        <v>1</v>
      </c>
      <c r="F13" s="7">
        <v>1</v>
      </c>
      <c r="G13" s="9">
        <v>2</v>
      </c>
      <c r="H13" s="9">
        <v>2</v>
      </c>
      <c r="I13" s="7">
        <v>3</v>
      </c>
      <c r="J13" s="7">
        <v>3</v>
      </c>
      <c r="K13" s="9">
        <v>4</v>
      </c>
      <c r="L13" s="9">
        <v>4</v>
      </c>
      <c r="M13" s="7">
        <v>5</v>
      </c>
      <c r="N13" s="7">
        <v>5</v>
      </c>
      <c r="Q13" s="1" t="s">
        <v>8</v>
      </c>
      <c r="R13" s="1" t="s">
        <v>9</v>
      </c>
      <c r="S13" s="1">
        <v>0.91</v>
      </c>
    </row>
    <row r="14" spans="2:19" x14ac:dyDescent="0.3">
      <c r="B14" s="2"/>
      <c r="C14" s="5" t="s">
        <v>4</v>
      </c>
      <c r="D14" s="5" t="s">
        <v>5</v>
      </c>
      <c r="E14" s="7" t="s">
        <v>4</v>
      </c>
      <c r="F14" s="7" t="s">
        <v>5</v>
      </c>
      <c r="G14" s="9" t="s">
        <v>4</v>
      </c>
      <c r="H14" s="9" t="s">
        <v>5</v>
      </c>
      <c r="I14" s="7" t="s">
        <v>4</v>
      </c>
      <c r="J14" s="7" t="s">
        <v>5</v>
      </c>
      <c r="K14" s="9" t="s">
        <v>4</v>
      </c>
      <c r="L14" s="9" t="s">
        <v>5</v>
      </c>
      <c r="M14" s="7" t="s">
        <v>4</v>
      </c>
      <c r="N14" s="7" t="s">
        <v>5</v>
      </c>
      <c r="Q14" s="1" t="s">
        <v>8</v>
      </c>
      <c r="R14" s="1" t="s">
        <v>10</v>
      </c>
      <c r="S14" s="1">
        <v>0.74</v>
      </c>
    </row>
    <row r="15" spans="2:19" x14ac:dyDescent="0.3">
      <c r="B15" s="2" t="s">
        <v>6</v>
      </c>
      <c r="C15" s="6">
        <f>$C12/(10000^(2*C13/$C$2))</f>
        <v>3</v>
      </c>
      <c r="D15" s="6">
        <f>$C12/(10000^(2*D13/$C$2))</f>
        <v>3</v>
      </c>
      <c r="E15" s="7">
        <f>$C12/(10000^(2*E13/$C$2))</f>
        <v>0.64633040700956501</v>
      </c>
      <c r="F15" s="7">
        <f>$C12/(10000^(2*F13/$C$2))</f>
        <v>0.64633040700956501</v>
      </c>
      <c r="G15" s="6">
        <f t="shared" ref="G15:N15" si="3">$C12/(10000^(2*G13/$C$2))</f>
        <v>0.13924766500838334</v>
      </c>
      <c r="H15" s="6">
        <f t="shared" si="3"/>
        <v>0.13924766500838334</v>
      </c>
      <c r="I15" s="7">
        <f t="shared" si="3"/>
        <v>0.03</v>
      </c>
      <c r="J15" s="7">
        <f t="shared" si="3"/>
        <v>0.03</v>
      </c>
      <c r="K15" s="6">
        <f t="shared" si="3"/>
        <v>6.4633040700956467E-3</v>
      </c>
      <c r="L15" s="6">
        <f t="shared" si="3"/>
        <v>6.4633040700956467E-3</v>
      </c>
      <c r="M15" s="7">
        <f t="shared" si="3"/>
        <v>1.3924766500838328E-3</v>
      </c>
      <c r="N15" s="7">
        <f t="shared" si="3"/>
        <v>1.3924766500838328E-3</v>
      </c>
      <c r="Q15" s="1" t="s">
        <v>8</v>
      </c>
      <c r="R15" s="1" t="s">
        <v>11</v>
      </c>
      <c r="S15" s="1">
        <v>0.63</v>
      </c>
    </row>
    <row r="16" spans="2:19" x14ac:dyDescent="0.3">
      <c r="B16" s="2" t="s">
        <v>2</v>
      </c>
      <c r="C16" s="6">
        <f>SIN($C12/(10000^(2*C13/$C$2)))</f>
        <v>0.14112000805986721</v>
      </c>
      <c r="D16" s="6">
        <f>COS($C12/(10000^(2*D13/$C$2)))</f>
        <v>-0.98999249660044542</v>
      </c>
      <c r="E16" s="8">
        <f>SIN($C12/(10000^(2*E13/$C$2)))</f>
        <v>0.60226103407633136</v>
      </c>
      <c r="F16" s="8">
        <f>COS($C12/(10000^(2*F13/$C$2)))</f>
        <v>0.79829922136584097</v>
      </c>
      <c r="G16" s="6">
        <f t="shared" ref="G16:J16" si="4">SIN($C12/(10000^(2*G13/$C$2)))</f>
        <v>0.1387981010800505</v>
      </c>
      <c r="H16" s="6">
        <f>COS($C12/(10000^(2*H13/$C$2)))</f>
        <v>0.990320699135675</v>
      </c>
      <c r="I16" s="8">
        <f t="shared" ref="I16:L16" si="5">SIN($C12/(10000^(2*I13/$C$2)))</f>
        <v>2.999550020249566E-2</v>
      </c>
      <c r="J16" s="8">
        <f>COS($C12/(10000^(2*J13/$C$2)))</f>
        <v>0.99955003374898754</v>
      </c>
      <c r="K16" s="6">
        <f t="shared" ref="K16:N16" si="6">SIN($C12/(10000^(2*K13/$C$2)))</f>
        <v>6.4632590701896387E-3</v>
      </c>
      <c r="L16" s="6">
        <f>COS($C12/(10000^(2*L13/$C$2)))</f>
        <v>0.99997911292296082</v>
      </c>
      <c r="M16" s="8">
        <f t="shared" ref="M16:N16" si="7">SIN($C12/(10000^(2*M13/$C$2)))</f>
        <v>1.3924762000838765E-3</v>
      </c>
      <c r="N16" s="8">
        <f>COS($C12/(10000^(2*N13/$C$2)))</f>
        <v>0.99999903050454619</v>
      </c>
      <c r="Q16" s="1" t="s">
        <v>8</v>
      </c>
      <c r="R16" s="1" t="s">
        <v>12</v>
      </c>
      <c r="S16" s="1">
        <v>0.78</v>
      </c>
    </row>
    <row r="17" spans="2:19" hidden="1" x14ac:dyDescent="0.3">
      <c r="B17" s="11"/>
      <c r="C17" s="12" t="str">
        <f>TEXT(C16, "#,##0.00")</f>
        <v>0.14</v>
      </c>
      <c r="D17" s="12" t="str">
        <f t="shared" ref="D17" si="8">TEXT(D16, "#,##0.00")</f>
        <v>-0.99</v>
      </c>
      <c r="E17" s="12" t="str">
        <f t="shared" ref="E17" si="9">TEXT(E16, "#,##0.00")</f>
        <v>0.60</v>
      </c>
      <c r="F17" s="12" t="str">
        <f t="shared" ref="F17" si="10">TEXT(F16, "#,##0.00")</f>
        <v>0.80</v>
      </c>
      <c r="G17" s="12" t="str">
        <f t="shared" ref="G17" si="11">TEXT(G16, "#,##0.00")</f>
        <v>0.14</v>
      </c>
      <c r="H17" s="12" t="str">
        <f t="shared" ref="H17" si="12">TEXT(H16, "#,##0.00")</f>
        <v>0.99</v>
      </c>
      <c r="I17" s="12" t="str">
        <f t="shared" ref="I17" si="13">TEXT(I16, "#,##0.00")</f>
        <v>0.03</v>
      </c>
      <c r="J17" s="12" t="str">
        <f t="shared" ref="J17" si="14">TEXT(J16, "#,##0.00")</f>
        <v>1.00</v>
      </c>
      <c r="K17" s="12" t="str">
        <f t="shared" ref="K17" si="15">TEXT(K16, "#,##0.00")</f>
        <v>0.01</v>
      </c>
      <c r="L17" s="12" t="str">
        <f t="shared" ref="L17" si="16">TEXT(L16, "#,##0.00")</f>
        <v>1.00</v>
      </c>
      <c r="M17" s="12" t="str">
        <f t="shared" ref="M17" si="17">TEXT(M16, "#,##0.00")</f>
        <v>0.00</v>
      </c>
      <c r="N17" s="12" t="str">
        <f t="shared" ref="N17" si="18">TEXT(N16, "#,##0.00")</f>
        <v>1.00</v>
      </c>
      <c r="Q17" s="1" t="s">
        <v>8</v>
      </c>
      <c r="R17" s="1"/>
      <c r="S17" s="1"/>
    </row>
    <row r="18" spans="2:19" x14ac:dyDescent="0.3">
      <c r="B18" s="10" t="str">
        <f>"PE=[" &amp; _xlfn.TEXTJOIN(", ", TRUE, C17:N17) &amp; "]"</f>
        <v>PE=[0.14, -0.99, 0.60, 0.80, 0.14, 0.99, 0.03, 1.00, 0.01, 1.00, 0.00, 1.00]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Q18" s="1" t="s">
        <v>8</v>
      </c>
      <c r="R18" s="1" t="s">
        <v>13</v>
      </c>
      <c r="S18" s="1">
        <v>0.6</v>
      </c>
    </row>
    <row r="19" spans="2:19" x14ac:dyDescent="0.3"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9" x14ac:dyDescent="0.3">
      <c r="B20" s="2" t="s">
        <v>3</v>
      </c>
      <c r="C20" s="2">
        <v>12</v>
      </c>
    </row>
    <row r="21" spans="2:19" x14ac:dyDescent="0.3">
      <c r="B21" s="4" t="s">
        <v>0</v>
      </c>
      <c r="C21" s="4">
        <v>10</v>
      </c>
    </row>
    <row r="22" spans="2:19" x14ac:dyDescent="0.3">
      <c r="B22" s="2" t="s">
        <v>1</v>
      </c>
      <c r="C22" s="5">
        <v>0</v>
      </c>
      <c r="D22" s="5">
        <v>0</v>
      </c>
      <c r="E22" s="7">
        <v>1</v>
      </c>
      <c r="F22" s="7">
        <v>1</v>
      </c>
      <c r="G22" s="9">
        <v>2</v>
      </c>
      <c r="H22" s="9">
        <v>2</v>
      </c>
      <c r="I22" s="7">
        <v>3</v>
      </c>
      <c r="J22" s="7">
        <v>3</v>
      </c>
      <c r="K22" s="9">
        <v>4</v>
      </c>
      <c r="L22" s="9">
        <v>4</v>
      </c>
      <c r="M22" s="7">
        <v>5</v>
      </c>
      <c r="N22" s="7">
        <v>5</v>
      </c>
    </row>
    <row r="23" spans="2:19" x14ac:dyDescent="0.3">
      <c r="B23" s="2"/>
      <c r="C23" s="5" t="s">
        <v>4</v>
      </c>
      <c r="D23" s="5" t="s">
        <v>5</v>
      </c>
      <c r="E23" s="7" t="s">
        <v>4</v>
      </c>
      <c r="F23" s="7" t="s">
        <v>5</v>
      </c>
      <c r="G23" s="9" t="s">
        <v>4</v>
      </c>
      <c r="H23" s="9" t="s">
        <v>5</v>
      </c>
      <c r="I23" s="7" t="s">
        <v>4</v>
      </c>
      <c r="J23" s="7" t="s">
        <v>5</v>
      </c>
      <c r="K23" s="9" t="s">
        <v>4</v>
      </c>
      <c r="L23" s="9" t="s">
        <v>5</v>
      </c>
      <c r="M23" s="7" t="s">
        <v>4</v>
      </c>
      <c r="N23" s="7" t="s">
        <v>5</v>
      </c>
    </row>
    <row r="24" spans="2:19" x14ac:dyDescent="0.3">
      <c r="B24" s="2" t="s">
        <v>6</v>
      </c>
      <c r="C24" s="6">
        <f>$C21/(10000^(2*C22/$C$2))</f>
        <v>10</v>
      </c>
      <c r="D24" s="6">
        <f>$C21/(10000^(2*D22/$C$2))</f>
        <v>10</v>
      </c>
      <c r="E24" s="7">
        <f>$C21/(10000^(2*E22/$C$2))</f>
        <v>2.1544346900318834</v>
      </c>
      <c r="F24" s="7">
        <f>$C21/(10000^(2*F22/$C$2))</f>
        <v>2.1544346900318834</v>
      </c>
      <c r="G24" s="6">
        <f t="shared" ref="G24:N24" si="19">$C21/(10000^(2*G22/$C$2))</f>
        <v>0.46415888336127775</v>
      </c>
      <c r="H24" s="6">
        <f t="shared" si="19"/>
        <v>0.46415888336127775</v>
      </c>
      <c r="I24" s="7">
        <f t="shared" si="19"/>
        <v>0.1</v>
      </c>
      <c r="J24" s="7">
        <f t="shared" si="19"/>
        <v>0.1</v>
      </c>
      <c r="K24" s="6">
        <f t="shared" si="19"/>
        <v>2.1544346900318822E-2</v>
      </c>
      <c r="L24" s="6">
        <f t="shared" si="19"/>
        <v>2.1544346900318822E-2</v>
      </c>
      <c r="M24" s="7">
        <f t="shared" si="19"/>
        <v>4.6415888336127755E-3</v>
      </c>
      <c r="N24" s="7">
        <f t="shared" si="19"/>
        <v>4.6415888336127755E-3</v>
      </c>
    </row>
    <row r="25" spans="2:19" x14ac:dyDescent="0.3">
      <c r="B25" s="2" t="s">
        <v>2</v>
      </c>
      <c r="C25" s="6">
        <f>SIN($C21/(10000^(2*C22/$C$2)))</f>
        <v>-0.54402111088936977</v>
      </c>
      <c r="D25" s="6">
        <f>COS($C21/(10000^(2*D22/$C$2)))</f>
        <v>-0.83907152907645244</v>
      </c>
      <c r="E25" s="8">
        <f>SIN($C21/(10000^(2*E22/$C$2)))</f>
        <v>0.83446320776041372</v>
      </c>
      <c r="F25" s="8">
        <f>COS($C21/(10000^(2*F22/$C$2)))</f>
        <v>-0.55106365775126254</v>
      </c>
      <c r="G25" s="6">
        <f t="shared" ref="G25:J25" si="20">SIN($C21/(10000^(2*G22/$C$2)))</f>
        <v>0.44767083471895708</v>
      </c>
      <c r="H25" s="6">
        <f>COS($C21/(10000^(2*H22/$C$2)))</f>
        <v>0.89419842526255444</v>
      </c>
      <c r="I25" s="8">
        <f t="shared" ref="I25:L25" si="21">SIN($C21/(10000^(2*I22/$C$2)))</f>
        <v>9.9833416646828155E-2</v>
      </c>
      <c r="J25" s="8">
        <f>COS($C21/(10000^(2*J22/$C$2)))</f>
        <v>0.99500416527802582</v>
      </c>
      <c r="K25" s="6">
        <f t="shared" ref="K25:N25" si="22">SIN($C21/(10000^(2*K22/$C$2)))</f>
        <v>2.1542680272331634E-2</v>
      </c>
      <c r="L25" s="6">
        <f>COS($C21/(10000^(2*L22/$C$2)))</f>
        <v>0.99976792953499172</v>
      </c>
      <c r="M25" s="8">
        <f t="shared" ref="M25:N25" si="23">SIN($C21/(10000^(2*M22/$C$2)))</f>
        <v>4.6415721669640624E-3</v>
      </c>
      <c r="N25" s="8">
        <f>COS($C21/(10000^(2*N22/$C$2)))</f>
        <v>0.99998922784588973</v>
      </c>
    </row>
    <row r="26" spans="2:19" hidden="1" x14ac:dyDescent="0.3">
      <c r="B26" s="11"/>
      <c r="C26" s="12" t="str">
        <f>TEXT(C25, "#,##0.00")</f>
        <v>-0.54</v>
      </c>
      <c r="D26" s="12" t="str">
        <f t="shared" ref="D26" si="24">TEXT(D25, "#,##0.00")</f>
        <v>-0.84</v>
      </c>
      <c r="E26" s="12" t="str">
        <f t="shared" ref="E26" si="25">TEXT(E25, "#,##0.00")</f>
        <v>0.83</v>
      </c>
      <c r="F26" s="12" t="str">
        <f t="shared" ref="F26" si="26">TEXT(F25, "#,##0.00")</f>
        <v>-0.55</v>
      </c>
      <c r="G26" s="12" t="str">
        <f t="shared" ref="G26" si="27">TEXT(G25, "#,##0.00")</f>
        <v>0.45</v>
      </c>
      <c r="H26" s="12" t="str">
        <f t="shared" ref="H26" si="28">TEXT(H25, "#,##0.00")</f>
        <v>0.89</v>
      </c>
      <c r="I26" s="12" t="str">
        <f t="shared" ref="I26" si="29">TEXT(I25, "#,##0.00")</f>
        <v>0.10</v>
      </c>
      <c r="J26" s="12" t="str">
        <f t="shared" ref="J26" si="30">TEXT(J25, "#,##0.00")</f>
        <v>1.00</v>
      </c>
      <c r="K26" s="12" t="str">
        <f t="shared" ref="K26" si="31">TEXT(K25, "#,##0.00")</f>
        <v>0.02</v>
      </c>
      <c r="L26" s="12" t="str">
        <f t="shared" ref="L26" si="32">TEXT(L25, "#,##0.00")</f>
        <v>1.00</v>
      </c>
      <c r="M26" s="12" t="str">
        <f t="shared" ref="M26" si="33">TEXT(M25, "#,##0.00")</f>
        <v>0.00</v>
      </c>
      <c r="N26" s="12" t="str">
        <f t="shared" ref="N26" si="34">TEXT(N25, "#,##0.00")</f>
        <v>1.00</v>
      </c>
    </row>
    <row r="27" spans="2:19" x14ac:dyDescent="0.3">
      <c r="B27" s="10" t="str">
        <f>"PE=[" &amp; _xlfn.TEXTJOIN(", ", TRUE, C26:N26) &amp; "]"</f>
        <v>PE=[-0.54, -0.84, 0.83, -0.55, 0.45, 0.89, 0.10, 1.00, 0.02, 1.00, 0.00, 1.00]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9" spans="2:19" x14ac:dyDescent="0.3">
      <c r="C29" s="3">
        <f>C7*C16</f>
        <v>0.12832006020245673</v>
      </c>
      <c r="D29" s="3">
        <f t="shared" ref="D29:N29" si="35">D7*D16</f>
        <v>0.41198224566568298</v>
      </c>
      <c r="E29" s="3">
        <f t="shared" si="35"/>
        <v>0.25155048233147076</v>
      </c>
      <c r="F29" s="3">
        <f t="shared" si="35"/>
        <v>0.72533120283872055</v>
      </c>
      <c r="G29" s="3">
        <f t="shared" si="35"/>
        <v>1.2866375881054919E-2</v>
      </c>
      <c r="H29" s="3">
        <f t="shared" si="35"/>
        <v>0.98605660015957552</v>
      </c>
      <c r="I29" s="3">
        <f t="shared" si="35"/>
        <v>5.9987001084951558E-4</v>
      </c>
      <c r="J29" s="3">
        <f t="shared" si="35"/>
        <v>0.99935013040581577</v>
      </c>
      <c r="K29" s="3">
        <f t="shared" si="35"/>
        <v>2.7849252926251931E-5</v>
      </c>
      <c r="L29" s="3">
        <f t="shared" si="35"/>
        <v>0.99996982995355466</v>
      </c>
      <c r="M29" s="3">
        <f t="shared" si="35"/>
        <v>1.2926602106126888E-6</v>
      </c>
      <c r="N29" s="3">
        <f t="shared" si="35"/>
        <v>0.99999859961805693</v>
      </c>
      <c r="O29" s="3">
        <f>SUM(C29:N29)</f>
        <v>5.5160545389803755</v>
      </c>
      <c r="P29" s="3">
        <f>O29/(P33*P34)</f>
        <v>0.91934242316339609</v>
      </c>
    </row>
    <row r="30" spans="2:19" x14ac:dyDescent="0.3">
      <c r="C30" s="3">
        <f>C7*C25</f>
        <v>-0.49467699627055278</v>
      </c>
      <c r="D30" s="3">
        <f t="shared" ref="D30:N30" si="36">D7*D25</f>
        <v>0.3491769624619393</v>
      </c>
      <c r="E30" s="3">
        <f t="shared" si="36"/>
        <v>0.34853595122907149</v>
      </c>
      <c r="F30" s="3">
        <f t="shared" si="36"/>
        <v>-0.50069404431280773</v>
      </c>
      <c r="G30" s="3">
        <f t="shared" si="36"/>
        <v>4.1498415220808701E-2</v>
      </c>
      <c r="H30" s="3">
        <f t="shared" si="36"/>
        <v>0.89034820725446917</v>
      </c>
      <c r="I30" s="3">
        <f t="shared" si="36"/>
        <v>1.9965352243765666E-3</v>
      </c>
      <c r="J30" s="3">
        <f t="shared" si="36"/>
        <v>0.99480517107824284</v>
      </c>
      <c r="K30" s="3">
        <f t="shared" si="36"/>
        <v>9.282430815448319E-5</v>
      </c>
      <c r="L30" s="3">
        <f t="shared" si="36"/>
        <v>0.99975864852603546</v>
      </c>
      <c r="M30" s="3">
        <f t="shared" si="36"/>
        <v>4.3088532892413873E-6</v>
      </c>
      <c r="N30" s="3">
        <f t="shared" si="36"/>
        <v>0.9999887969636243</v>
      </c>
      <c r="O30" s="3">
        <f>SUM(C30:N30)</f>
        <v>3.6308347805366505</v>
      </c>
      <c r="P30" s="3">
        <f>O30/(P34*P35)</f>
        <v>0.60513913008944187</v>
      </c>
    </row>
    <row r="33" spans="3:16" x14ac:dyDescent="0.3">
      <c r="C33" s="15">
        <f>C7^2</f>
        <v>0.82682181043180603</v>
      </c>
      <c r="D33" s="15">
        <f t="shared" ref="D33:N33" si="37">D7^2</f>
        <v>0.17317818956819406</v>
      </c>
      <c r="E33" s="15">
        <f t="shared" si="37"/>
        <v>0.17445393818303848</v>
      </c>
      <c r="F33" s="15">
        <f t="shared" si="37"/>
        <v>0.82554606181696155</v>
      </c>
      <c r="G33" s="15">
        <f t="shared" si="37"/>
        <v>8.5930120466236899E-3</v>
      </c>
      <c r="H33" s="15">
        <f t="shared" si="37"/>
        <v>0.99140698795337634</v>
      </c>
      <c r="I33" s="15">
        <f t="shared" si="37"/>
        <v>3.9994666951102988E-4</v>
      </c>
      <c r="J33" s="15">
        <f t="shared" si="37"/>
        <v>0.99960005333048896</v>
      </c>
      <c r="K33" s="15">
        <f t="shared" si="37"/>
        <v>1.856624043155207E-5</v>
      </c>
      <c r="L33" s="15">
        <f t="shared" si="37"/>
        <v>0.99998143375956849</v>
      </c>
      <c r="M33" s="15">
        <f t="shared" si="37"/>
        <v>8.617736284613763E-7</v>
      </c>
      <c r="N33" s="15">
        <f t="shared" si="37"/>
        <v>0.99999913822637154</v>
      </c>
      <c r="O33" s="3">
        <f>SUM(C33:N33)</f>
        <v>6</v>
      </c>
      <c r="P33" s="15">
        <f>SQRT(O33)</f>
        <v>2.4494897427831779</v>
      </c>
    </row>
    <row r="34" spans="3:16" x14ac:dyDescent="0.3">
      <c r="C34" s="15">
        <f>C16^2</f>
        <v>1.9914856674816989E-2</v>
      </c>
      <c r="D34" s="15">
        <f t="shared" ref="D34:N34" si="38">D16^2</f>
        <v>0.98008514332518293</v>
      </c>
      <c r="E34" s="15">
        <f t="shared" si="38"/>
        <v>0.36271835316669199</v>
      </c>
      <c r="F34" s="15">
        <f t="shared" si="38"/>
        <v>0.63728164683330801</v>
      </c>
      <c r="G34" s="15">
        <f t="shared" si="38"/>
        <v>1.9264912863427915E-2</v>
      </c>
      <c r="H34" s="15">
        <f t="shared" si="38"/>
        <v>0.98073508713657209</v>
      </c>
      <c r="I34" s="15">
        <f t="shared" si="38"/>
        <v>8.997300323979172E-4</v>
      </c>
      <c r="J34" s="15">
        <f t="shared" si="38"/>
        <v>0.99910026996760215</v>
      </c>
      <c r="K34" s="15">
        <f t="shared" si="38"/>
        <v>4.177371780838863E-5</v>
      </c>
      <c r="L34" s="15">
        <f t="shared" si="38"/>
        <v>0.99995822628219166</v>
      </c>
      <c r="M34" s="15">
        <f t="shared" si="38"/>
        <v>1.9389899678000321E-6</v>
      </c>
      <c r="N34" s="15">
        <f t="shared" si="38"/>
        <v>0.9999980610100323</v>
      </c>
      <c r="O34" s="3">
        <f>SUM(C34:N34)</f>
        <v>6</v>
      </c>
      <c r="P34" s="15">
        <f>SQRT(O34)</f>
        <v>2.4494897427831779</v>
      </c>
    </row>
    <row r="35" spans="3:16" x14ac:dyDescent="0.3">
      <c r="C35" s="15">
        <f>C25^2</f>
        <v>0.29595896909330399</v>
      </c>
      <c r="D35" s="15">
        <f t="shared" ref="D35:N35" si="39">D25^2</f>
        <v>0.70404103090669601</v>
      </c>
      <c r="E35" s="15">
        <f t="shared" si="39"/>
        <v>0.6963288451057994</v>
      </c>
      <c r="F35" s="15">
        <f t="shared" si="39"/>
        <v>0.3036711548942006</v>
      </c>
      <c r="G35" s="15">
        <f t="shared" si="39"/>
        <v>0.20040917625796778</v>
      </c>
      <c r="H35" s="15">
        <f t="shared" si="39"/>
        <v>0.79959082374203216</v>
      </c>
      <c r="I35" s="15">
        <f t="shared" si="39"/>
        <v>9.9667110793791851E-3</v>
      </c>
      <c r="J35" s="15">
        <f t="shared" si="39"/>
        <v>0.99003328892062092</v>
      </c>
      <c r="K35" s="15">
        <f t="shared" si="39"/>
        <v>4.6408707331590659E-4</v>
      </c>
      <c r="L35" s="15">
        <f t="shared" si="39"/>
        <v>0.9995359129266842</v>
      </c>
      <c r="M35" s="15">
        <f t="shared" si="39"/>
        <v>2.1544192181135462E-5</v>
      </c>
      <c r="N35" s="15">
        <f t="shared" si="39"/>
        <v>0.99997845580781874</v>
      </c>
      <c r="O35" s="3">
        <f>SUM(C35:N35)</f>
        <v>6</v>
      </c>
      <c r="P35" s="15">
        <f>SQRT(O35)</f>
        <v>2.4494897427831779</v>
      </c>
    </row>
  </sheetData>
  <mergeCells count="3">
    <mergeCell ref="B9:N9"/>
    <mergeCell ref="B18:N18"/>
    <mergeCell ref="B27:N27"/>
  </mergeCells>
  <pageMargins left="0.7" right="0.7" top="0.75" bottom="0.75" header="0.3" footer="0.3"/>
  <ignoredErrors>
    <ignoredError sqref="D7:E7 F7:M7 D16:M16 D25:M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B6B3-2697-4AB7-B101-B5D320626EF4}">
  <dimension ref="B2:BS7"/>
  <sheetViews>
    <sheetView tabSelected="1" workbookViewId="0">
      <selection activeCell="BE12" sqref="BE12"/>
    </sheetView>
  </sheetViews>
  <sheetFormatPr defaultColWidth="2" defaultRowHeight="14.4" x14ac:dyDescent="0.3"/>
  <cols>
    <col min="2" max="7" width="5.88671875" customWidth="1"/>
  </cols>
  <sheetData>
    <row r="2" spans="2:71" x14ac:dyDescent="0.3">
      <c r="B2">
        <v>0</v>
      </c>
      <c r="C2">
        <f>B2+0.1</f>
        <v>0.1</v>
      </c>
      <c r="D2">
        <f t="shared" ref="D2:BO2" si="0">C2+0.1</f>
        <v>0.2</v>
      </c>
      <c r="E2">
        <f t="shared" si="0"/>
        <v>0.30000000000000004</v>
      </c>
      <c r="F2">
        <f t="shared" si="0"/>
        <v>0.4</v>
      </c>
      <c r="G2">
        <f t="shared" si="0"/>
        <v>0.5</v>
      </c>
      <c r="H2">
        <f t="shared" si="0"/>
        <v>0.6</v>
      </c>
      <c r="I2">
        <f t="shared" si="0"/>
        <v>0.7</v>
      </c>
      <c r="J2">
        <f t="shared" si="0"/>
        <v>0.79999999999999993</v>
      </c>
      <c r="K2">
        <f t="shared" si="0"/>
        <v>0.89999999999999991</v>
      </c>
      <c r="L2">
        <f t="shared" si="0"/>
        <v>0.99999999999999989</v>
      </c>
      <c r="M2">
        <f t="shared" si="0"/>
        <v>1.0999999999999999</v>
      </c>
      <c r="N2">
        <f t="shared" si="0"/>
        <v>1.2</v>
      </c>
      <c r="O2">
        <f t="shared" si="0"/>
        <v>1.3</v>
      </c>
      <c r="P2">
        <f t="shared" si="0"/>
        <v>1.4000000000000001</v>
      </c>
      <c r="Q2">
        <f t="shared" si="0"/>
        <v>1.5000000000000002</v>
      </c>
      <c r="R2">
        <f t="shared" si="0"/>
        <v>1.6000000000000003</v>
      </c>
      <c r="S2">
        <f t="shared" si="0"/>
        <v>1.7000000000000004</v>
      </c>
      <c r="T2">
        <f t="shared" si="0"/>
        <v>1.8000000000000005</v>
      </c>
      <c r="U2">
        <f t="shared" si="0"/>
        <v>1.9000000000000006</v>
      </c>
      <c r="V2">
        <f t="shared" si="0"/>
        <v>2.0000000000000004</v>
      </c>
      <c r="W2">
        <f t="shared" si="0"/>
        <v>2.1000000000000005</v>
      </c>
      <c r="X2">
        <f t="shared" si="0"/>
        <v>2.2000000000000006</v>
      </c>
      <c r="Y2">
        <f t="shared" si="0"/>
        <v>2.3000000000000007</v>
      </c>
      <c r="Z2">
        <f t="shared" si="0"/>
        <v>2.4000000000000008</v>
      </c>
      <c r="AA2">
        <f t="shared" si="0"/>
        <v>2.5000000000000009</v>
      </c>
      <c r="AB2">
        <f t="shared" si="0"/>
        <v>2.600000000000001</v>
      </c>
      <c r="AC2">
        <f t="shared" si="0"/>
        <v>2.7000000000000011</v>
      </c>
      <c r="AD2">
        <f t="shared" si="0"/>
        <v>2.8000000000000012</v>
      </c>
      <c r="AE2">
        <f t="shared" si="0"/>
        <v>2.9000000000000012</v>
      </c>
      <c r="AF2">
        <f t="shared" si="0"/>
        <v>3.0000000000000013</v>
      </c>
      <c r="AG2">
        <f t="shared" si="0"/>
        <v>3.1000000000000014</v>
      </c>
      <c r="AH2">
        <f t="shared" si="0"/>
        <v>3.2000000000000015</v>
      </c>
      <c r="AI2">
        <f t="shared" si="0"/>
        <v>3.3000000000000016</v>
      </c>
      <c r="AJ2">
        <f t="shared" si="0"/>
        <v>3.4000000000000017</v>
      </c>
      <c r="AK2">
        <f t="shared" si="0"/>
        <v>3.5000000000000018</v>
      </c>
      <c r="AL2">
        <f t="shared" si="0"/>
        <v>3.6000000000000019</v>
      </c>
      <c r="AM2">
        <f t="shared" si="0"/>
        <v>3.700000000000002</v>
      </c>
      <c r="AN2">
        <f t="shared" si="0"/>
        <v>3.800000000000002</v>
      </c>
      <c r="AO2">
        <f t="shared" si="0"/>
        <v>3.9000000000000021</v>
      </c>
      <c r="AP2">
        <f t="shared" si="0"/>
        <v>4.0000000000000018</v>
      </c>
      <c r="AQ2">
        <f t="shared" si="0"/>
        <v>4.1000000000000014</v>
      </c>
      <c r="AR2">
        <f t="shared" si="0"/>
        <v>4.2000000000000011</v>
      </c>
      <c r="AS2">
        <f t="shared" si="0"/>
        <v>4.3000000000000007</v>
      </c>
      <c r="AT2">
        <f t="shared" si="0"/>
        <v>4.4000000000000004</v>
      </c>
      <c r="AU2">
        <f t="shared" si="0"/>
        <v>4.5</v>
      </c>
      <c r="AV2">
        <f t="shared" si="0"/>
        <v>4.5999999999999996</v>
      </c>
      <c r="AW2">
        <f t="shared" si="0"/>
        <v>4.6999999999999993</v>
      </c>
      <c r="AX2">
        <f t="shared" si="0"/>
        <v>4.7999999999999989</v>
      </c>
      <c r="AY2">
        <f t="shared" si="0"/>
        <v>4.8999999999999986</v>
      </c>
      <c r="AZ2">
        <f t="shared" si="0"/>
        <v>4.9999999999999982</v>
      </c>
      <c r="BA2">
        <f t="shared" si="0"/>
        <v>5.0999999999999979</v>
      </c>
      <c r="BB2">
        <f t="shared" si="0"/>
        <v>5.1999999999999975</v>
      </c>
      <c r="BC2">
        <f t="shared" si="0"/>
        <v>5.2999999999999972</v>
      </c>
      <c r="BD2">
        <f t="shared" si="0"/>
        <v>5.3999999999999968</v>
      </c>
      <c r="BE2">
        <f t="shared" si="0"/>
        <v>5.4999999999999964</v>
      </c>
      <c r="BF2">
        <f t="shared" si="0"/>
        <v>5.5999999999999961</v>
      </c>
      <c r="BG2">
        <f t="shared" si="0"/>
        <v>5.6999999999999957</v>
      </c>
      <c r="BH2">
        <f t="shared" si="0"/>
        <v>5.7999999999999954</v>
      </c>
      <c r="BI2">
        <f t="shared" si="0"/>
        <v>5.899999999999995</v>
      </c>
      <c r="BJ2">
        <f t="shared" si="0"/>
        <v>5.9999999999999947</v>
      </c>
      <c r="BK2">
        <f t="shared" si="0"/>
        <v>6.0999999999999943</v>
      </c>
      <c r="BL2">
        <f t="shared" si="0"/>
        <v>6.199999999999994</v>
      </c>
      <c r="BM2">
        <f t="shared" si="0"/>
        <v>6.2999999999999936</v>
      </c>
      <c r="BN2">
        <f t="shared" si="0"/>
        <v>6.3999999999999932</v>
      </c>
      <c r="BO2">
        <f t="shared" si="0"/>
        <v>6.4999999999999929</v>
      </c>
      <c r="BP2">
        <f t="shared" ref="BP2:BS2" si="1">BO2+0.1</f>
        <v>6.5999999999999925</v>
      </c>
      <c r="BQ2">
        <f t="shared" si="1"/>
        <v>6.6999999999999922</v>
      </c>
      <c r="BR2">
        <f t="shared" si="1"/>
        <v>6.7999999999999918</v>
      </c>
      <c r="BS2">
        <f t="shared" si="1"/>
        <v>6.8999999999999915</v>
      </c>
    </row>
    <row r="3" spans="2:71" x14ac:dyDescent="0.3">
      <c r="B3">
        <f>SIN(B2)</f>
        <v>0</v>
      </c>
      <c r="C3">
        <f t="shared" ref="C3:BN3" si="2">SIN(C2)</f>
        <v>9.9833416646828155E-2</v>
      </c>
      <c r="D3">
        <f t="shared" si="2"/>
        <v>0.19866933079506122</v>
      </c>
      <c r="E3">
        <f t="shared" si="2"/>
        <v>0.2955202066613396</v>
      </c>
      <c r="F3">
        <f t="shared" si="2"/>
        <v>0.38941834230865052</v>
      </c>
      <c r="G3">
        <f t="shared" si="2"/>
        <v>0.47942553860420301</v>
      </c>
      <c r="H3">
        <f t="shared" si="2"/>
        <v>0.56464247339503537</v>
      </c>
      <c r="I3">
        <f t="shared" si="2"/>
        <v>0.64421768723769102</v>
      </c>
      <c r="J3">
        <f t="shared" si="2"/>
        <v>0.71735609089952268</v>
      </c>
      <c r="K3">
        <f t="shared" si="2"/>
        <v>0.7833269096274833</v>
      </c>
      <c r="L3">
        <f t="shared" si="2"/>
        <v>0.84147098480789639</v>
      </c>
      <c r="M3">
        <f t="shared" si="2"/>
        <v>0.89120736006143531</v>
      </c>
      <c r="N3">
        <f t="shared" si="2"/>
        <v>0.93203908596722629</v>
      </c>
      <c r="O3">
        <f t="shared" si="2"/>
        <v>0.96355818541719296</v>
      </c>
      <c r="P3">
        <f t="shared" si="2"/>
        <v>0.98544972998846025</v>
      </c>
      <c r="Q3">
        <f t="shared" si="2"/>
        <v>0.99749498660405445</v>
      </c>
      <c r="R3">
        <f t="shared" si="2"/>
        <v>0.99957360304150511</v>
      </c>
      <c r="S3">
        <f t="shared" si="2"/>
        <v>0.99166481045246857</v>
      </c>
      <c r="T3">
        <f t="shared" si="2"/>
        <v>0.97384763087819504</v>
      </c>
      <c r="U3">
        <f t="shared" si="2"/>
        <v>0.94630008768741425</v>
      </c>
      <c r="V3">
        <f t="shared" si="2"/>
        <v>0.90929742682568149</v>
      </c>
      <c r="W3">
        <f t="shared" si="2"/>
        <v>0.86320936664887349</v>
      </c>
      <c r="X3">
        <f t="shared" si="2"/>
        <v>0.80849640381958987</v>
      </c>
      <c r="Y3">
        <f t="shared" si="2"/>
        <v>0.7457052121767197</v>
      </c>
      <c r="Z3">
        <f t="shared" si="2"/>
        <v>0.67546318055115029</v>
      </c>
      <c r="AA3">
        <f t="shared" si="2"/>
        <v>0.59847214410395577</v>
      </c>
      <c r="AB3">
        <f t="shared" si="2"/>
        <v>0.51550137182146338</v>
      </c>
      <c r="AC3">
        <f t="shared" si="2"/>
        <v>0.42737988023382895</v>
      </c>
      <c r="AD3">
        <f t="shared" si="2"/>
        <v>0.33498815015590383</v>
      </c>
      <c r="AE3">
        <f t="shared" si="2"/>
        <v>0.23924932921398112</v>
      </c>
      <c r="AF3">
        <f t="shared" si="2"/>
        <v>0.14112000805986591</v>
      </c>
      <c r="AG3">
        <f t="shared" si="2"/>
        <v>4.1580662433289159E-2</v>
      </c>
      <c r="AH3">
        <f t="shared" si="2"/>
        <v>-5.8374143427581418E-2</v>
      </c>
      <c r="AI3">
        <f t="shared" si="2"/>
        <v>-0.15774569414324996</v>
      </c>
      <c r="AJ3">
        <f t="shared" si="2"/>
        <v>-0.25554110202683294</v>
      </c>
      <c r="AK3">
        <f t="shared" si="2"/>
        <v>-0.3507832276896215</v>
      </c>
      <c r="AL3">
        <f t="shared" si="2"/>
        <v>-0.44252044329485407</v>
      </c>
      <c r="AM3">
        <f t="shared" si="2"/>
        <v>-0.52983614090849485</v>
      </c>
      <c r="AN3">
        <f t="shared" si="2"/>
        <v>-0.61185789094272069</v>
      </c>
      <c r="AO3">
        <f t="shared" si="2"/>
        <v>-0.68776615918397532</v>
      </c>
      <c r="AP3">
        <f t="shared" si="2"/>
        <v>-0.75680249530792942</v>
      </c>
      <c r="AQ3">
        <f t="shared" si="2"/>
        <v>-0.81827711106441137</v>
      </c>
      <c r="AR3">
        <f t="shared" si="2"/>
        <v>-0.87157577241358863</v>
      </c>
      <c r="AS3">
        <f t="shared" si="2"/>
        <v>-0.91616593674945523</v>
      </c>
      <c r="AT3">
        <f t="shared" si="2"/>
        <v>-0.95160207388951601</v>
      </c>
      <c r="AU3">
        <f t="shared" si="2"/>
        <v>-0.97753011766509701</v>
      </c>
      <c r="AV3">
        <f t="shared" si="2"/>
        <v>-0.99369100363346441</v>
      </c>
      <c r="AW3">
        <f t="shared" si="2"/>
        <v>-0.99992325756410083</v>
      </c>
      <c r="AX3">
        <f t="shared" si="2"/>
        <v>-0.99616460883584079</v>
      </c>
      <c r="AY3">
        <f t="shared" si="2"/>
        <v>-0.98245261262433281</v>
      </c>
      <c r="AZ3">
        <f t="shared" si="2"/>
        <v>-0.95892427466313901</v>
      </c>
      <c r="BA3">
        <f t="shared" si="2"/>
        <v>-0.92581468232773312</v>
      </c>
      <c r="BB3">
        <f t="shared" si="2"/>
        <v>-0.88345465572015447</v>
      </c>
      <c r="BC3">
        <f t="shared" si="2"/>
        <v>-0.8322674422239027</v>
      </c>
      <c r="BD3">
        <f t="shared" si="2"/>
        <v>-0.77276448755598937</v>
      </c>
      <c r="BE3">
        <f t="shared" si="2"/>
        <v>-0.70554032557039448</v>
      </c>
      <c r="BF3">
        <f t="shared" si="2"/>
        <v>-0.63126663787232429</v>
      </c>
      <c r="BG3">
        <f t="shared" si="2"/>
        <v>-0.55068554259764135</v>
      </c>
      <c r="BH3">
        <f t="shared" si="2"/>
        <v>-0.46460217941376131</v>
      </c>
      <c r="BI3">
        <f t="shared" si="2"/>
        <v>-0.37387666483024096</v>
      </c>
      <c r="BJ3">
        <f t="shared" si="2"/>
        <v>-0.27941549819893097</v>
      </c>
      <c r="BK3">
        <f t="shared" si="2"/>
        <v>-0.18216250427210112</v>
      </c>
      <c r="BL3">
        <f t="shared" si="2"/>
        <v>-8.30894028175026E-2</v>
      </c>
      <c r="BM3">
        <f t="shared" si="2"/>
        <v>1.6813900484343496E-2</v>
      </c>
      <c r="BN3">
        <f t="shared" si="2"/>
        <v>0.11654920485048659</v>
      </c>
      <c r="BO3">
        <f t="shared" ref="BO3:BS3" si="3">SIN(BO2)</f>
        <v>0.21511998808780858</v>
      </c>
      <c r="BP3">
        <f t="shared" si="3"/>
        <v>0.31154136351337108</v>
      </c>
      <c r="BQ3">
        <f t="shared" si="3"/>
        <v>0.40484992061659103</v>
      </c>
      <c r="BR3">
        <f t="shared" si="3"/>
        <v>0.49411335113860122</v>
      </c>
      <c r="BS3">
        <f t="shared" si="3"/>
        <v>0.57843976438819289</v>
      </c>
    </row>
    <row r="4" spans="2:71" x14ac:dyDescent="0.3">
      <c r="B4">
        <f>COS(B2)</f>
        <v>1</v>
      </c>
      <c r="C4">
        <f t="shared" ref="C4:BN4" si="4">COS(C2)</f>
        <v>0.99500416527802582</v>
      </c>
      <c r="D4">
        <f t="shared" si="4"/>
        <v>0.98006657784124163</v>
      </c>
      <c r="E4">
        <f t="shared" si="4"/>
        <v>0.95533648912560598</v>
      </c>
      <c r="F4">
        <f t="shared" si="4"/>
        <v>0.9210609940028851</v>
      </c>
      <c r="G4">
        <f t="shared" si="4"/>
        <v>0.87758256189037276</v>
      </c>
      <c r="H4">
        <f t="shared" si="4"/>
        <v>0.82533561490967833</v>
      </c>
      <c r="I4">
        <f t="shared" si="4"/>
        <v>0.7648421872844885</v>
      </c>
      <c r="J4">
        <f t="shared" si="4"/>
        <v>0.6967067093471655</v>
      </c>
      <c r="K4">
        <f t="shared" si="4"/>
        <v>0.6216099682706645</v>
      </c>
      <c r="L4">
        <f t="shared" si="4"/>
        <v>0.54030230586813977</v>
      </c>
      <c r="M4">
        <f t="shared" si="4"/>
        <v>0.45359612142557748</v>
      </c>
      <c r="N4">
        <f t="shared" si="4"/>
        <v>0.36235775447667362</v>
      </c>
      <c r="O4">
        <f t="shared" si="4"/>
        <v>0.26749882862458735</v>
      </c>
      <c r="P4">
        <f t="shared" si="4"/>
        <v>0.16996714290024081</v>
      </c>
      <c r="Q4">
        <f t="shared" si="4"/>
        <v>7.0737201667702684E-2</v>
      </c>
      <c r="R4">
        <f t="shared" si="4"/>
        <v>-2.9199522301289037E-2</v>
      </c>
      <c r="S4">
        <f t="shared" si="4"/>
        <v>-0.12884449429552508</v>
      </c>
      <c r="T4">
        <f t="shared" si="4"/>
        <v>-0.22720209469308753</v>
      </c>
      <c r="U4">
        <f t="shared" si="4"/>
        <v>-0.32328956686350396</v>
      </c>
      <c r="V4">
        <f t="shared" si="4"/>
        <v>-0.4161468365471428</v>
      </c>
      <c r="W4">
        <f t="shared" si="4"/>
        <v>-0.5048461045998579</v>
      </c>
      <c r="X4">
        <f t="shared" si="4"/>
        <v>-0.58850111725534626</v>
      </c>
      <c r="Y4">
        <f t="shared" si="4"/>
        <v>-0.66627602127982477</v>
      </c>
      <c r="Z4">
        <f t="shared" si="4"/>
        <v>-0.737393715541246</v>
      </c>
      <c r="AA4">
        <f t="shared" si="4"/>
        <v>-0.80114361554693425</v>
      </c>
      <c r="AB4">
        <f t="shared" si="4"/>
        <v>-0.85688875336894776</v>
      </c>
      <c r="AC4">
        <f t="shared" si="4"/>
        <v>-0.90407214201706165</v>
      </c>
      <c r="AD4">
        <f t="shared" si="4"/>
        <v>-0.94222234066865851</v>
      </c>
      <c r="AE4">
        <f t="shared" si="4"/>
        <v>-0.97095816514959077</v>
      </c>
      <c r="AF4">
        <f t="shared" si="4"/>
        <v>-0.98999249660044564</v>
      </c>
      <c r="AG4">
        <f t="shared" si="4"/>
        <v>-0.99913515027327948</v>
      </c>
      <c r="AH4">
        <f t="shared" si="4"/>
        <v>-0.99829477579475301</v>
      </c>
      <c r="AI4">
        <f t="shared" si="4"/>
        <v>-0.98747976990886466</v>
      </c>
      <c r="AJ4">
        <f t="shared" si="4"/>
        <v>-0.96679819257946054</v>
      </c>
      <c r="AK4">
        <f t="shared" si="4"/>
        <v>-0.93645668729079568</v>
      </c>
      <c r="AL4">
        <f t="shared" si="4"/>
        <v>-0.89675841633414621</v>
      </c>
      <c r="AM4">
        <f t="shared" si="4"/>
        <v>-0.84810003171040715</v>
      </c>
      <c r="AN4">
        <f t="shared" si="4"/>
        <v>-0.79096771191441551</v>
      </c>
      <c r="AO4">
        <f t="shared" si="4"/>
        <v>-0.72593230420013866</v>
      </c>
      <c r="AP4">
        <f t="shared" si="4"/>
        <v>-0.65364362086361061</v>
      </c>
      <c r="AQ4">
        <f t="shared" si="4"/>
        <v>-0.57482394653326774</v>
      </c>
      <c r="AR4">
        <f t="shared" si="4"/>
        <v>-0.49026082134069865</v>
      </c>
      <c r="AS4">
        <f t="shared" si="4"/>
        <v>-0.40079917207997462</v>
      </c>
      <c r="AT4">
        <f t="shared" si="4"/>
        <v>-0.30733286997841935</v>
      </c>
      <c r="AU4">
        <f t="shared" si="4"/>
        <v>-0.2107957994307797</v>
      </c>
      <c r="AV4">
        <f t="shared" si="4"/>
        <v>-0.11215252693505487</v>
      </c>
      <c r="AW4">
        <f t="shared" si="4"/>
        <v>-1.2388663462891449E-2</v>
      </c>
      <c r="AX4">
        <f t="shared" si="4"/>
        <v>8.749898343944551E-2</v>
      </c>
      <c r="AY4">
        <f t="shared" si="4"/>
        <v>0.18651236942257401</v>
      </c>
      <c r="AZ4">
        <f t="shared" si="4"/>
        <v>0.28366218546322458</v>
      </c>
      <c r="BA4">
        <f t="shared" si="4"/>
        <v>0.37797774271297857</v>
      </c>
      <c r="BB4">
        <f t="shared" si="4"/>
        <v>0.46851667130037478</v>
      </c>
      <c r="BC4">
        <f t="shared" si="4"/>
        <v>0.55437433617915854</v>
      </c>
      <c r="BD4">
        <f t="shared" si="4"/>
        <v>0.63469287594263191</v>
      </c>
      <c r="BE4">
        <f t="shared" si="4"/>
        <v>0.70866977429125755</v>
      </c>
      <c r="BF4">
        <f t="shared" si="4"/>
        <v>0.77556587851024728</v>
      </c>
      <c r="BG4">
        <f t="shared" si="4"/>
        <v>0.83471278483915734</v>
      </c>
      <c r="BH4">
        <f t="shared" si="4"/>
        <v>0.88551951694131681</v>
      </c>
      <c r="BI4">
        <f t="shared" si="4"/>
        <v>0.92747843074403391</v>
      </c>
      <c r="BJ4">
        <f t="shared" si="4"/>
        <v>0.96017028665036452</v>
      </c>
      <c r="BK4">
        <f t="shared" si="4"/>
        <v>0.9832684384425836</v>
      </c>
      <c r="BL4">
        <f t="shared" si="4"/>
        <v>0.99654209702321694</v>
      </c>
      <c r="BM4">
        <f t="shared" si="4"/>
        <v>0.99985863638341521</v>
      </c>
      <c r="BN4">
        <f t="shared" si="4"/>
        <v>0.99318491875819348</v>
      </c>
      <c r="BO4">
        <f t="shared" ref="BO4:BS4" si="5">COS(BO2)</f>
        <v>0.97658762572802504</v>
      </c>
      <c r="BP4">
        <f t="shared" si="5"/>
        <v>0.95023259195853182</v>
      </c>
      <c r="BQ4">
        <f t="shared" si="5"/>
        <v>0.91438314823532263</v>
      </c>
      <c r="BR4">
        <f t="shared" si="5"/>
        <v>0.86939749034982916</v>
      </c>
      <c r="BS4">
        <f t="shared" si="5"/>
        <v>0.81572510012536203</v>
      </c>
    </row>
    <row r="7" spans="2:71" x14ac:dyDescent="0.3">
      <c r="G7">
        <f>COS(0.3)</f>
        <v>0.95533648912560598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 - Fixed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Priyanath Maji</dc:creator>
  <cp:lastModifiedBy>Priyanath Maji</cp:lastModifiedBy>
  <dcterms:created xsi:type="dcterms:W3CDTF">2025-12-05T00:37:52Z</dcterms:created>
  <dcterms:modified xsi:type="dcterms:W3CDTF">2025-12-05T06:04:43Z</dcterms:modified>
</cp:coreProperties>
</file>