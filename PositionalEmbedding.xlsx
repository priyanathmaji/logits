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102025\App\logits\logits\"/>
    </mc:Choice>
  </mc:AlternateContent>
  <xr:revisionPtr revIDLastSave="0" documentId="13_ncr:1_{7371FBBD-2ACD-4616-A90D-48D9275E9FB3}" xr6:coauthVersionLast="47" xr6:coauthVersionMax="47" xr10:uidLastSave="{00000000-0000-0000-0000-000000000000}"/>
  <bookViews>
    <workbookView xWindow="-108" yWindow="-108" windowWidth="23256" windowHeight="12456" xr2:uid="{38CDF928-8236-4176-B75A-BDB19F1E8536}"/>
  </bookViews>
  <sheets>
    <sheet name="PE - Fixed" sheetId="1" r:id="rId1"/>
    <sheet name="PE - RoPE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 s="1"/>
  <c r="E10" i="3"/>
  <c r="F10" i="3"/>
  <c r="G46" i="3"/>
  <c r="E39" i="3"/>
  <c r="P33" i="3"/>
  <c r="O33" i="3"/>
  <c r="N33" i="3"/>
  <c r="M33" i="3"/>
  <c r="L33" i="3"/>
  <c r="K33" i="3"/>
  <c r="J33" i="3"/>
  <c r="I33" i="3"/>
  <c r="H33" i="3"/>
  <c r="G33" i="3"/>
  <c r="F33" i="3"/>
  <c r="E33" i="3"/>
  <c r="D37" i="3" s="1"/>
  <c r="D27" i="3"/>
  <c r="D26" i="3"/>
  <c r="F23" i="3"/>
  <c r="F24" i="3" s="1"/>
  <c r="E23" i="3"/>
  <c r="E24" i="3" s="1"/>
  <c r="O22" i="3"/>
  <c r="P23" i="3" s="1"/>
  <c r="P24" i="3" s="1"/>
  <c r="M22" i="3"/>
  <c r="N23" i="3" s="1"/>
  <c r="N24" i="3" s="1"/>
  <c r="K22" i="3"/>
  <c r="K23" i="3" s="1"/>
  <c r="K24" i="3" s="1"/>
  <c r="I22" i="3"/>
  <c r="I23" i="3" s="1"/>
  <c r="I24" i="3" s="1"/>
  <c r="G22" i="3"/>
  <c r="H23" i="3" s="1"/>
  <c r="H24" i="3" s="1"/>
  <c r="E22" i="3"/>
  <c r="D11" i="3"/>
  <c r="D12" i="3"/>
  <c r="O7" i="3"/>
  <c r="P8" i="3" s="1"/>
  <c r="P9" i="3" s="1"/>
  <c r="M7" i="3"/>
  <c r="N8" i="3" s="1"/>
  <c r="K7" i="3"/>
  <c r="L8" i="3" s="1"/>
  <c r="I7" i="3"/>
  <c r="J8" i="3" s="1"/>
  <c r="G7" i="3"/>
  <c r="H8" i="3" s="1"/>
  <c r="H9" i="3" s="1"/>
  <c r="E7" i="3"/>
  <c r="E8" i="3" s="1"/>
  <c r="N25" i="1"/>
  <c r="N35" i="1" s="1"/>
  <c r="M25" i="1"/>
  <c r="M35" i="1" s="1"/>
  <c r="L25" i="1"/>
  <c r="L26" i="1" s="1"/>
  <c r="K25" i="1"/>
  <c r="J25" i="1"/>
  <c r="I25" i="1"/>
  <c r="H25" i="1"/>
  <c r="G25" i="1"/>
  <c r="F25" i="1"/>
  <c r="F35" i="1" s="1"/>
  <c r="E25" i="1"/>
  <c r="E35" i="1" s="1"/>
  <c r="D25" i="1"/>
  <c r="D26" i="1" s="1"/>
  <c r="C25" i="1"/>
  <c r="N24" i="1"/>
  <c r="M24" i="1"/>
  <c r="L24" i="1"/>
  <c r="K24" i="1"/>
  <c r="J24" i="1"/>
  <c r="I24" i="1"/>
  <c r="H24" i="1"/>
  <c r="G24" i="1"/>
  <c r="F24" i="1"/>
  <c r="E24" i="1"/>
  <c r="D24" i="1"/>
  <c r="C24" i="1"/>
  <c r="N16" i="1"/>
  <c r="N17" i="1" s="1"/>
  <c r="M16" i="1"/>
  <c r="M17" i="1" s="1"/>
  <c r="L16" i="1"/>
  <c r="L17" i="1" s="1"/>
  <c r="K16" i="1"/>
  <c r="K17" i="1" s="1"/>
  <c r="J16" i="1"/>
  <c r="J17" i="1" s="1"/>
  <c r="I16" i="1"/>
  <c r="I17" i="1" s="1"/>
  <c r="H16" i="1"/>
  <c r="H34" i="1" s="1"/>
  <c r="G16" i="1"/>
  <c r="G17" i="1" s="1"/>
  <c r="F16" i="1"/>
  <c r="F17" i="1" s="1"/>
  <c r="E16" i="1"/>
  <c r="E17" i="1" s="1"/>
  <c r="D16" i="1"/>
  <c r="D17" i="1" s="1"/>
  <c r="C16" i="1"/>
  <c r="C17" i="1" s="1"/>
  <c r="N15" i="1"/>
  <c r="M15" i="1"/>
  <c r="L15" i="1"/>
  <c r="K15" i="1"/>
  <c r="J15" i="1"/>
  <c r="I15" i="1"/>
  <c r="H15" i="1"/>
  <c r="G15" i="1"/>
  <c r="F15" i="1"/>
  <c r="E15" i="1"/>
  <c r="D15" i="1"/>
  <c r="C15" i="1"/>
  <c r="N7" i="1"/>
  <c r="N8" i="1" s="1"/>
  <c r="J7" i="1"/>
  <c r="J8" i="1" s="1"/>
  <c r="F7" i="1"/>
  <c r="F33" i="1" s="1"/>
  <c r="L7" i="1"/>
  <c r="L8" i="1" s="1"/>
  <c r="H7" i="1"/>
  <c r="H8" i="1" s="1"/>
  <c r="D7" i="1"/>
  <c r="D8" i="1" s="1"/>
  <c r="M7" i="1"/>
  <c r="M8" i="1" s="1"/>
  <c r="N6" i="1"/>
  <c r="M6" i="1"/>
  <c r="I7" i="1"/>
  <c r="I8" i="1" s="1"/>
  <c r="J6" i="1"/>
  <c r="I6" i="1"/>
  <c r="F6" i="1"/>
  <c r="E7" i="1"/>
  <c r="E8" i="1" s="1"/>
  <c r="E6" i="1"/>
  <c r="L6" i="1"/>
  <c r="K6" i="1"/>
  <c r="H6" i="1"/>
  <c r="G6" i="1"/>
  <c r="K7" i="1"/>
  <c r="K8" i="1" s="1"/>
  <c r="G7" i="1"/>
  <c r="G8" i="1" s="1"/>
  <c r="D6" i="1"/>
  <c r="C6" i="1"/>
  <c r="G7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BS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L2" i="2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N2" i="2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D2" i="2"/>
  <c r="E2" i="2" s="1"/>
  <c r="F2" i="2" s="1"/>
  <c r="G2" i="2" s="1"/>
  <c r="H2" i="2" s="1"/>
  <c r="I2" i="2" s="1"/>
  <c r="J2" i="2" s="1"/>
  <c r="K2" i="2" s="1"/>
  <c r="L2" i="2" s="1"/>
  <c r="M2" i="2" s="1"/>
  <c r="C2" i="2"/>
  <c r="H33" i="1" l="1"/>
  <c r="E34" i="3"/>
  <c r="E35" i="3" s="1"/>
  <c r="H34" i="3"/>
  <c r="H35" i="3" s="1"/>
  <c r="N34" i="3"/>
  <c r="N35" i="3" s="1"/>
  <c r="D28" i="3"/>
  <c r="G23" i="3"/>
  <c r="G24" i="3" s="1"/>
  <c r="J23" i="3"/>
  <c r="J24" i="3" s="1"/>
  <c r="L23" i="3"/>
  <c r="L24" i="3" s="1"/>
  <c r="M23" i="3"/>
  <c r="M24" i="3" s="1"/>
  <c r="P34" i="3"/>
  <c r="P35" i="3" s="1"/>
  <c r="O23" i="3"/>
  <c r="O24" i="3" s="1"/>
  <c r="D13" i="3"/>
  <c r="I8" i="3"/>
  <c r="K8" i="3"/>
  <c r="K34" i="3" s="1"/>
  <c r="K35" i="3" s="1"/>
  <c r="F8" i="3"/>
  <c r="F34" i="3" s="1"/>
  <c r="F35" i="3" s="1"/>
  <c r="M8" i="3"/>
  <c r="G8" i="3"/>
  <c r="O8" i="3"/>
  <c r="E9" i="3"/>
  <c r="L9" i="3"/>
  <c r="N9" i="3"/>
  <c r="J9" i="3"/>
  <c r="M29" i="1"/>
  <c r="I34" i="1"/>
  <c r="J34" i="1"/>
  <c r="C34" i="1"/>
  <c r="K34" i="1"/>
  <c r="D34" i="1"/>
  <c r="L34" i="1"/>
  <c r="E34" i="1"/>
  <c r="M34" i="1"/>
  <c r="H17" i="1"/>
  <c r="B18" i="1" s="1"/>
  <c r="F34" i="1"/>
  <c r="N34" i="1"/>
  <c r="G34" i="1"/>
  <c r="D29" i="1"/>
  <c r="C30" i="1"/>
  <c r="K30" i="1"/>
  <c r="L29" i="1"/>
  <c r="G33" i="1"/>
  <c r="E29" i="1"/>
  <c r="F29" i="1"/>
  <c r="N29" i="1"/>
  <c r="I33" i="1"/>
  <c r="G29" i="1"/>
  <c r="J33" i="1"/>
  <c r="G30" i="1"/>
  <c r="F8" i="1"/>
  <c r="B9" i="1" s="1"/>
  <c r="H29" i="1"/>
  <c r="C33" i="1"/>
  <c r="K33" i="1"/>
  <c r="H30" i="1"/>
  <c r="I29" i="1"/>
  <c r="D33" i="1"/>
  <c r="L33" i="1"/>
  <c r="I30" i="1"/>
  <c r="J29" i="1"/>
  <c r="E33" i="1"/>
  <c r="M33" i="1"/>
  <c r="J30" i="1"/>
  <c r="C29" i="1"/>
  <c r="K29" i="1"/>
  <c r="N33" i="1"/>
  <c r="G26" i="1"/>
  <c r="N26" i="1"/>
  <c r="H35" i="1"/>
  <c r="I35" i="1"/>
  <c r="J35" i="1"/>
  <c r="C35" i="1"/>
  <c r="F26" i="1"/>
  <c r="H26" i="1"/>
  <c r="G35" i="1"/>
  <c r="E26" i="1"/>
  <c r="M26" i="1"/>
  <c r="D30" i="1"/>
  <c r="L30" i="1"/>
  <c r="N30" i="1"/>
  <c r="I26" i="1"/>
  <c r="K35" i="1"/>
  <c r="J26" i="1"/>
  <c r="D35" i="1"/>
  <c r="L35" i="1"/>
  <c r="E30" i="1"/>
  <c r="M30" i="1"/>
  <c r="F30" i="1"/>
  <c r="C26" i="1"/>
  <c r="B27" i="1" s="1"/>
  <c r="K26" i="1"/>
  <c r="M34" i="3" l="1"/>
  <c r="M35" i="3" s="1"/>
  <c r="I9" i="3"/>
  <c r="I34" i="3"/>
  <c r="I35" i="3" s="1"/>
  <c r="D29" i="3"/>
  <c r="L34" i="3"/>
  <c r="L35" i="3" s="1"/>
  <c r="O9" i="3"/>
  <c r="O34" i="3"/>
  <c r="O35" i="3" s="1"/>
  <c r="J34" i="3"/>
  <c r="J35" i="3" s="1"/>
  <c r="G9" i="3"/>
  <c r="G34" i="3"/>
  <c r="G35" i="3" s="1"/>
  <c r="F9" i="3"/>
  <c r="K9" i="3"/>
  <c r="M9" i="3"/>
  <c r="O34" i="1"/>
  <c r="P34" i="1" s="1"/>
  <c r="O33" i="1"/>
  <c r="P33" i="1" s="1"/>
  <c r="O29" i="1"/>
  <c r="O35" i="1"/>
  <c r="P35" i="1" s="1"/>
  <c r="O30" i="1"/>
  <c r="D38" i="3" l="1"/>
  <c r="E40" i="3"/>
  <c r="D14" i="3"/>
  <c r="P30" i="1"/>
  <c r="P29" i="1"/>
</calcChain>
</file>

<file path=xl/sharedStrings.xml><?xml version="1.0" encoding="utf-8"?>
<sst xmlns="http://schemas.openxmlformats.org/spreadsheetml/2006/main" count="124" uniqueCount="31">
  <si>
    <t>pos:</t>
  </si>
  <si>
    <t>i:</t>
  </si>
  <si>
    <t>PE</t>
  </si>
  <si>
    <t>d:</t>
  </si>
  <si>
    <t>SIN</t>
  </si>
  <si>
    <t>COS</t>
  </si>
  <si>
    <t>theta</t>
  </si>
  <si>
    <t>POS2</t>
  </si>
  <si>
    <t>POS3</t>
  </si>
  <si>
    <t>POS4</t>
  </si>
  <si>
    <t>POS5</t>
  </si>
  <si>
    <t>POS7</t>
  </si>
  <si>
    <t>POS10</t>
  </si>
  <si>
    <t>POS6</t>
  </si>
  <si>
    <t>POS8</t>
  </si>
  <si>
    <t>POS11</t>
  </si>
  <si>
    <t>COSINE SIMILARITY FOR POSITIONS</t>
  </si>
  <si>
    <t>RoPE</t>
  </si>
  <si>
    <t>y</t>
  </si>
  <si>
    <t>Q(t=pos)</t>
  </si>
  <si>
    <t>X_0</t>
  </si>
  <si>
    <t>Y_0</t>
  </si>
  <si>
    <t>for scatter plot</t>
  </si>
  <si>
    <t>x</t>
  </si>
  <si>
    <t>K(t=pos)</t>
  </si>
  <si>
    <t>Q.K</t>
  </si>
  <si>
    <t>Rope(Q).Rope(K)</t>
  </si>
  <si>
    <t>SUM(Q.K)</t>
  </si>
  <si>
    <t>SUM(Rotated Q.K)</t>
  </si>
  <si>
    <t>Q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</si>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</sst>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0000000"/>
  </numFmts>
  <fonts count="3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2" borderId="1" xfId="0" applyFont="1" applyFill="1" applyBorder="1"/>
    <xf numFmtId="164" fontId="1" fillId="2" borderId="1" xfId="0" applyNumberFormat="1" applyFont="1" applyFill="1" applyBorder="1"/>
    <xf numFmtId="0" fontId="1" fillId="3" borderId="1" xfId="0" applyFont="1" applyFill="1" applyBorder="1"/>
    <xf numFmtId="164" fontId="1" fillId="3" borderId="1" xfId="0" applyNumberFormat="1" applyFont="1" applyFill="1" applyBorder="1"/>
    <xf numFmtId="0" fontId="1" fillId="4" borderId="1" xfId="0" applyFont="1" applyFill="1" applyBorder="1"/>
    <xf numFmtId="0" fontId="1" fillId="0" borderId="3" xfId="0" applyFont="1" applyBorder="1"/>
    <xf numFmtId="164" fontId="1" fillId="5" borderId="3" xfId="0" applyNumberFormat="1" applyFont="1" applyFill="1" applyBorder="1"/>
    <xf numFmtId="164" fontId="1" fillId="0" borderId="0" xfId="0" applyNumberFormat="1" applyFont="1" applyAlignment="1">
      <alignment horizontal="left"/>
    </xf>
    <xf numFmtId="165" fontId="1" fillId="0" borderId="0" xfId="0" applyNumberFormat="1" applyFont="1"/>
    <xf numFmtId="0" fontId="2" fillId="0" borderId="0" xfId="0" applyFont="1"/>
    <xf numFmtId="164" fontId="1" fillId="0" borderId="3" xfId="0" applyNumberFormat="1" applyFont="1" applyBorder="1" applyAlignment="1">
      <alignment horizontal="left"/>
    </xf>
    <xf numFmtId="0" fontId="0" fillId="0" borderId="0" xfId="0" applyBorder="1"/>
    <xf numFmtId="0" fontId="1" fillId="0" borderId="0" xfId="0" applyFont="1" applyBorder="1"/>
    <xf numFmtId="164" fontId="1" fillId="0" borderId="0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Rotation by 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651554239480748"/>
          <c:y val="0.19967886962106618"/>
          <c:w val="0.71778645190718682"/>
          <c:h val="0.69113680154142587"/>
        </c:manualLayout>
      </c:layout>
      <c:scatterChart>
        <c:scatterStyle val="lineMarker"/>
        <c:varyColors val="0"/>
        <c:ser>
          <c:idx val="0"/>
          <c:order val="0"/>
          <c:tx>
            <c:v>Q1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546D-4FE4-B7D0-5E521AA2E4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46D-4FE4-B7D0-5E521AA2E407}"/>
                </c:ext>
              </c:extLst>
            </c:dLbl>
            <c:dLbl>
              <c:idx val="1"/>
              <c:layout>
                <c:manualLayout>
                  <c:x val="-6.9013112491374626E-3"/>
                  <c:y val="-9.1185410334346545E-2"/>
                </c:manualLayout>
              </c:layout>
              <c:showLegendKey val="0"/>
              <c:showVal val="1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46D-4FE4-B7D0-5E521AA2E40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ound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('PE - RoPE'!$A$6,'PE - RoPE'!$E$6)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('PE - RoPE'!$B$6,'PE - RoPE'!$F$6)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6D-4FE4-B7D0-5E521AA2E407}"/>
            </c:ext>
          </c:extLst>
        </c:ser>
        <c:ser>
          <c:idx val="1"/>
          <c:order val="1"/>
          <c:tx>
            <c:v>RoPE(Q1)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46D-4FE4-B7D0-5E521AA2E407}"/>
                </c:ext>
              </c:extLst>
            </c:dLbl>
            <c:dLbl>
              <c:idx val="1"/>
              <c:layout>
                <c:manualLayout>
                  <c:x val="-0.24204718975345477"/>
                  <c:y val="7.424032102370183E-2"/>
                </c:manualLayout>
              </c:layout>
              <c:showLegendKey val="0"/>
              <c:showVal val="1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46D-4FE4-B7D0-5E521AA2E40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ound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('PE - RoPE'!$A$8,'PE - RoPE'!$E$8)</c:f>
              <c:numCache>
                <c:formatCode>0.0000</c:formatCode>
                <c:ptCount val="2"/>
                <c:pt idx="0" formatCode="General">
                  <c:v>0</c:v>
                </c:pt>
                <c:pt idx="1">
                  <c:v>-0.26855850335002268</c:v>
                </c:pt>
              </c:numCache>
            </c:numRef>
          </c:xVal>
          <c:yVal>
            <c:numRef>
              <c:f>('PE - RoPE'!$B$8,'PE - RoPE'!$F$8)</c:f>
              <c:numCache>
                <c:formatCode>0.0000</c:formatCode>
                <c:ptCount val="2"/>
                <c:pt idx="0" formatCode="General">
                  <c:v>0</c:v>
                </c:pt>
                <c:pt idx="1">
                  <c:v>-0.46677224668824924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6D-4FE4-B7D0-5E521AA2E407}"/>
            </c:ext>
          </c:extLst>
        </c:ser>
        <c:ser>
          <c:idx val="2"/>
          <c:order val="2"/>
          <c:tx>
            <c:v>Q2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46D-4FE4-B7D0-5E521AA2E407}"/>
                </c:ext>
              </c:extLst>
            </c:dLbl>
            <c:dLbl>
              <c:idx val="1"/>
              <c:layout>
                <c:manualLayout>
                  <c:x val="-8.5178875638842605E-3"/>
                  <c:y val="4.5327754532775454E-2"/>
                </c:manualLayout>
              </c:layout>
              <c:showLegendKey val="0"/>
              <c:showVal val="1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46D-4FE4-B7D0-5E521AA2E40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('PE - RoPE'!$A$6,'PE - RoPE'!$G$6)</c:f>
              <c:numCache>
                <c:formatCode>General</c:formatCode>
                <c:ptCount val="2"/>
                <c:pt idx="0">
                  <c:v>0</c:v>
                </c:pt>
                <c:pt idx="1">
                  <c:v>0.4</c:v>
                </c:pt>
              </c:numCache>
            </c:numRef>
          </c:xVal>
          <c:yVal>
            <c:numRef>
              <c:f>('PE - RoPE'!$B$6,'PE - RoPE'!$H$6)</c:f>
              <c:numCache>
                <c:formatCode>General</c:formatCode>
                <c:ptCount val="2"/>
                <c:pt idx="0">
                  <c:v>0</c:v>
                </c:pt>
                <c:pt idx="1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46D-4FE4-B7D0-5E521AA2E407}"/>
            </c:ext>
          </c:extLst>
        </c:ser>
        <c:ser>
          <c:idx val="3"/>
          <c:order val="3"/>
          <c:tx>
            <c:v>RoPE(Q2)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46D-4FE4-B7D0-5E521AA2E407}"/>
                </c:ext>
              </c:extLst>
            </c:dLbl>
            <c:dLbl>
              <c:idx val="1"/>
              <c:layout>
                <c:manualLayout>
                  <c:x val="-0.24552553801302945"/>
                  <c:y val="-6.1055194983472255E-2"/>
                </c:manualLayout>
              </c:layout>
              <c:showLegendKey val="0"/>
              <c:showVal val="1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46D-4FE4-B7D0-5E521AA2E40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('PE - RoPE'!$A$8,'PE - RoPE'!$G$8)</c:f>
              <c:numCache>
                <c:formatCode>0.0000</c:formatCode>
                <c:ptCount val="2"/>
                <c:pt idx="0" formatCode="General">
                  <c:v>0</c:v>
                </c:pt>
                <c:pt idx="1">
                  <c:v>-4.2036931899462449E-2</c:v>
                </c:pt>
              </c:numCache>
            </c:numRef>
          </c:xVal>
          <c:yVal>
            <c:numRef>
              <c:f>('PE - RoPE'!$B$8,'PE - RoPE'!$H$8)</c:f>
              <c:numCache>
                <c:formatCode>0.0000</c:formatCode>
                <c:ptCount val="2"/>
                <c:pt idx="0" formatCode="General">
                  <c:v>0</c:v>
                </c:pt>
                <c:pt idx="1">
                  <c:v>0.71988394645003717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46D-4FE4-B7D0-5E521AA2E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00111"/>
        <c:axId val="14091471"/>
      </c:scatterChart>
      <c:valAx>
        <c:axId val="14100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1471"/>
        <c:crosses val="autoZero"/>
        <c:crossBetween val="midCat"/>
      </c:valAx>
      <c:valAx>
        <c:axId val="1409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0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 vs cos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sin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Sheet2!$B$2:$BS$2</c:f>
              <c:numCache>
                <c:formatCode>General</c:formatCode>
                <c:ptCount val="70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</c:numCache>
            </c:numRef>
          </c:cat>
          <c:val>
            <c:numRef>
              <c:f>Sheet2!$B$3:$BS$3</c:f>
              <c:numCache>
                <c:formatCode>General</c:formatCode>
                <c:ptCount val="70"/>
                <c:pt idx="0">
                  <c:v>0</c:v>
                </c:pt>
                <c:pt idx="1">
                  <c:v>9.9833416646828155E-2</c:v>
                </c:pt>
                <c:pt idx="2">
                  <c:v>0.19866933079506122</c:v>
                </c:pt>
                <c:pt idx="3">
                  <c:v>0.2955202066613396</c:v>
                </c:pt>
                <c:pt idx="4">
                  <c:v>0.38941834230865052</c:v>
                </c:pt>
                <c:pt idx="5">
                  <c:v>0.47942553860420301</c:v>
                </c:pt>
                <c:pt idx="6">
                  <c:v>0.56464247339503537</c:v>
                </c:pt>
                <c:pt idx="7">
                  <c:v>0.64421768723769102</c:v>
                </c:pt>
                <c:pt idx="8">
                  <c:v>0.71735609089952268</c:v>
                </c:pt>
                <c:pt idx="9">
                  <c:v>0.7833269096274833</c:v>
                </c:pt>
                <c:pt idx="10">
                  <c:v>0.84147098480789639</c:v>
                </c:pt>
                <c:pt idx="11">
                  <c:v>0.89120736006143531</c:v>
                </c:pt>
                <c:pt idx="12">
                  <c:v>0.93203908596722629</c:v>
                </c:pt>
                <c:pt idx="13">
                  <c:v>0.96355818541719296</c:v>
                </c:pt>
                <c:pt idx="14">
                  <c:v>0.98544972998846025</c:v>
                </c:pt>
                <c:pt idx="15">
                  <c:v>0.99749498660405445</c:v>
                </c:pt>
                <c:pt idx="16">
                  <c:v>0.99957360304150511</c:v>
                </c:pt>
                <c:pt idx="17">
                  <c:v>0.99166481045246857</c:v>
                </c:pt>
                <c:pt idx="18">
                  <c:v>0.97384763087819504</c:v>
                </c:pt>
                <c:pt idx="19">
                  <c:v>0.94630008768741425</c:v>
                </c:pt>
                <c:pt idx="20">
                  <c:v>0.90929742682568149</c:v>
                </c:pt>
                <c:pt idx="21">
                  <c:v>0.86320936664887349</c:v>
                </c:pt>
                <c:pt idx="22">
                  <c:v>0.80849640381958987</c:v>
                </c:pt>
                <c:pt idx="23">
                  <c:v>0.7457052121767197</c:v>
                </c:pt>
                <c:pt idx="24">
                  <c:v>0.67546318055115029</c:v>
                </c:pt>
                <c:pt idx="25">
                  <c:v>0.59847214410395577</c:v>
                </c:pt>
                <c:pt idx="26">
                  <c:v>0.51550137182146338</c:v>
                </c:pt>
                <c:pt idx="27">
                  <c:v>0.42737988023382895</c:v>
                </c:pt>
                <c:pt idx="28">
                  <c:v>0.33498815015590383</c:v>
                </c:pt>
                <c:pt idx="29">
                  <c:v>0.23924932921398112</c:v>
                </c:pt>
                <c:pt idx="30">
                  <c:v>0.14112000805986591</c:v>
                </c:pt>
                <c:pt idx="31">
                  <c:v>4.1580662433289159E-2</c:v>
                </c:pt>
                <c:pt idx="32">
                  <c:v>-5.8374143427581418E-2</c:v>
                </c:pt>
                <c:pt idx="33">
                  <c:v>-0.15774569414324996</c:v>
                </c:pt>
                <c:pt idx="34">
                  <c:v>-0.25554110202683294</c:v>
                </c:pt>
                <c:pt idx="35">
                  <c:v>-0.3507832276896215</c:v>
                </c:pt>
                <c:pt idx="36">
                  <c:v>-0.44252044329485407</c:v>
                </c:pt>
                <c:pt idx="37">
                  <c:v>-0.52983614090849485</c:v>
                </c:pt>
                <c:pt idx="38">
                  <c:v>-0.61185789094272069</c:v>
                </c:pt>
                <c:pt idx="39">
                  <c:v>-0.68776615918397532</c:v>
                </c:pt>
                <c:pt idx="40">
                  <c:v>-0.75680249530792942</c:v>
                </c:pt>
                <c:pt idx="41">
                  <c:v>-0.81827711106441137</c:v>
                </c:pt>
                <c:pt idx="42">
                  <c:v>-0.87157577241358863</c:v>
                </c:pt>
                <c:pt idx="43">
                  <c:v>-0.91616593674945523</c:v>
                </c:pt>
                <c:pt idx="44">
                  <c:v>-0.95160207388951601</c:v>
                </c:pt>
                <c:pt idx="45">
                  <c:v>-0.97753011766509701</c:v>
                </c:pt>
                <c:pt idx="46">
                  <c:v>-0.99369100363346441</c:v>
                </c:pt>
                <c:pt idx="47">
                  <c:v>-0.99992325756410083</c:v>
                </c:pt>
                <c:pt idx="48">
                  <c:v>-0.99616460883584079</c:v>
                </c:pt>
                <c:pt idx="49">
                  <c:v>-0.98245261262433281</c:v>
                </c:pt>
                <c:pt idx="50">
                  <c:v>-0.95892427466313901</c:v>
                </c:pt>
                <c:pt idx="51">
                  <c:v>-0.92581468232773312</c:v>
                </c:pt>
                <c:pt idx="52">
                  <c:v>-0.88345465572015447</c:v>
                </c:pt>
                <c:pt idx="53">
                  <c:v>-0.8322674422239027</c:v>
                </c:pt>
                <c:pt idx="54">
                  <c:v>-0.77276448755598937</c:v>
                </c:pt>
                <c:pt idx="55">
                  <c:v>-0.70554032557039448</c:v>
                </c:pt>
                <c:pt idx="56">
                  <c:v>-0.63126663787232429</c:v>
                </c:pt>
                <c:pt idx="57">
                  <c:v>-0.55068554259764135</c:v>
                </c:pt>
                <c:pt idx="58">
                  <c:v>-0.46460217941376131</c:v>
                </c:pt>
                <c:pt idx="59">
                  <c:v>-0.37387666483024096</c:v>
                </c:pt>
                <c:pt idx="60">
                  <c:v>-0.27941549819893097</c:v>
                </c:pt>
                <c:pt idx="61">
                  <c:v>-0.18216250427210112</c:v>
                </c:pt>
                <c:pt idx="62">
                  <c:v>-8.30894028175026E-2</c:v>
                </c:pt>
                <c:pt idx="63">
                  <c:v>1.6813900484343496E-2</c:v>
                </c:pt>
                <c:pt idx="64">
                  <c:v>0.11654920485048659</c:v>
                </c:pt>
                <c:pt idx="65">
                  <c:v>0.21511998808780858</c:v>
                </c:pt>
                <c:pt idx="66">
                  <c:v>0.31154136351337108</c:v>
                </c:pt>
                <c:pt idx="67">
                  <c:v>0.40484992061659103</c:v>
                </c:pt>
                <c:pt idx="68">
                  <c:v>0.49411335113860122</c:v>
                </c:pt>
                <c:pt idx="69">
                  <c:v>0.57843976438819289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DF16-4304-9F3D-A05419202991}"/>
            </c:ext>
          </c:extLst>
        </c:ser>
        <c:ser>
          <c:idx val="1"/>
          <c:order val="1"/>
          <c:tx>
            <c:v>cos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Sheet2!$B$2:$BS$2</c:f>
              <c:numCache>
                <c:formatCode>General</c:formatCode>
                <c:ptCount val="70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</c:numCache>
            </c:numRef>
          </c:cat>
          <c:val>
            <c:numRef>
              <c:f>Sheet2!$B$4:$BS$4</c:f>
              <c:numCache>
                <c:formatCode>General</c:formatCode>
                <c:ptCount val="70"/>
                <c:pt idx="0">
                  <c:v>1</c:v>
                </c:pt>
                <c:pt idx="1">
                  <c:v>0.99500416527802582</c:v>
                </c:pt>
                <c:pt idx="2">
                  <c:v>0.98006657784124163</c:v>
                </c:pt>
                <c:pt idx="3">
                  <c:v>0.95533648912560598</c:v>
                </c:pt>
                <c:pt idx="4">
                  <c:v>0.9210609940028851</c:v>
                </c:pt>
                <c:pt idx="5">
                  <c:v>0.87758256189037276</c:v>
                </c:pt>
                <c:pt idx="6">
                  <c:v>0.82533561490967833</c:v>
                </c:pt>
                <c:pt idx="7">
                  <c:v>0.7648421872844885</c:v>
                </c:pt>
                <c:pt idx="8">
                  <c:v>0.6967067093471655</c:v>
                </c:pt>
                <c:pt idx="9">
                  <c:v>0.6216099682706645</c:v>
                </c:pt>
                <c:pt idx="10">
                  <c:v>0.54030230586813977</c:v>
                </c:pt>
                <c:pt idx="11">
                  <c:v>0.45359612142557748</c:v>
                </c:pt>
                <c:pt idx="12">
                  <c:v>0.36235775447667362</c:v>
                </c:pt>
                <c:pt idx="13">
                  <c:v>0.26749882862458735</c:v>
                </c:pt>
                <c:pt idx="14">
                  <c:v>0.16996714290024081</c:v>
                </c:pt>
                <c:pt idx="15">
                  <c:v>7.0737201667702684E-2</c:v>
                </c:pt>
                <c:pt idx="16">
                  <c:v>-2.9199522301289037E-2</c:v>
                </c:pt>
                <c:pt idx="17">
                  <c:v>-0.12884449429552508</c:v>
                </c:pt>
                <c:pt idx="18">
                  <c:v>-0.22720209469308753</c:v>
                </c:pt>
                <c:pt idx="19">
                  <c:v>-0.32328956686350396</c:v>
                </c:pt>
                <c:pt idx="20">
                  <c:v>-0.4161468365471428</c:v>
                </c:pt>
                <c:pt idx="21">
                  <c:v>-0.5048461045998579</c:v>
                </c:pt>
                <c:pt idx="22">
                  <c:v>-0.58850111725534626</c:v>
                </c:pt>
                <c:pt idx="23">
                  <c:v>-0.66627602127982477</c:v>
                </c:pt>
                <c:pt idx="24">
                  <c:v>-0.737393715541246</c:v>
                </c:pt>
                <c:pt idx="25">
                  <c:v>-0.80114361554693425</c:v>
                </c:pt>
                <c:pt idx="26">
                  <c:v>-0.85688875336894776</c:v>
                </c:pt>
                <c:pt idx="27">
                  <c:v>-0.90407214201706165</c:v>
                </c:pt>
                <c:pt idx="28">
                  <c:v>-0.94222234066865851</c:v>
                </c:pt>
                <c:pt idx="29">
                  <c:v>-0.97095816514959077</c:v>
                </c:pt>
                <c:pt idx="30">
                  <c:v>-0.98999249660044564</c:v>
                </c:pt>
                <c:pt idx="31">
                  <c:v>-0.99913515027327948</c:v>
                </c:pt>
                <c:pt idx="32">
                  <c:v>-0.99829477579475301</c:v>
                </c:pt>
                <c:pt idx="33">
                  <c:v>-0.98747976990886466</c:v>
                </c:pt>
                <c:pt idx="34">
                  <c:v>-0.96679819257946054</c:v>
                </c:pt>
                <c:pt idx="35">
                  <c:v>-0.93645668729079568</c:v>
                </c:pt>
                <c:pt idx="36">
                  <c:v>-0.89675841633414621</c:v>
                </c:pt>
                <c:pt idx="37">
                  <c:v>-0.84810003171040715</c:v>
                </c:pt>
                <c:pt idx="38">
                  <c:v>-0.79096771191441551</c:v>
                </c:pt>
                <c:pt idx="39">
                  <c:v>-0.72593230420013866</c:v>
                </c:pt>
                <c:pt idx="40">
                  <c:v>-0.65364362086361061</c:v>
                </c:pt>
                <c:pt idx="41">
                  <c:v>-0.57482394653326774</c:v>
                </c:pt>
                <c:pt idx="42">
                  <c:v>-0.49026082134069865</c:v>
                </c:pt>
                <c:pt idx="43">
                  <c:v>-0.40079917207997462</c:v>
                </c:pt>
                <c:pt idx="44">
                  <c:v>-0.30733286997841935</c:v>
                </c:pt>
                <c:pt idx="45">
                  <c:v>-0.2107957994307797</c:v>
                </c:pt>
                <c:pt idx="46">
                  <c:v>-0.11215252693505487</c:v>
                </c:pt>
                <c:pt idx="47">
                  <c:v>-1.2388663462891449E-2</c:v>
                </c:pt>
                <c:pt idx="48">
                  <c:v>8.749898343944551E-2</c:v>
                </c:pt>
                <c:pt idx="49">
                  <c:v>0.18651236942257401</c:v>
                </c:pt>
                <c:pt idx="50">
                  <c:v>0.28366218546322458</c:v>
                </c:pt>
                <c:pt idx="51">
                  <c:v>0.37797774271297857</c:v>
                </c:pt>
                <c:pt idx="52">
                  <c:v>0.46851667130037478</c:v>
                </c:pt>
                <c:pt idx="53">
                  <c:v>0.55437433617915854</c:v>
                </c:pt>
                <c:pt idx="54">
                  <c:v>0.63469287594263191</c:v>
                </c:pt>
                <c:pt idx="55">
                  <c:v>0.70866977429125755</c:v>
                </c:pt>
                <c:pt idx="56">
                  <c:v>0.77556587851024728</c:v>
                </c:pt>
                <c:pt idx="57">
                  <c:v>0.83471278483915734</c:v>
                </c:pt>
                <c:pt idx="58">
                  <c:v>0.88551951694131681</c:v>
                </c:pt>
                <c:pt idx="59">
                  <c:v>0.92747843074403391</c:v>
                </c:pt>
                <c:pt idx="60">
                  <c:v>0.96017028665036452</c:v>
                </c:pt>
                <c:pt idx="61">
                  <c:v>0.9832684384425836</c:v>
                </c:pt>
                <c:pt idx="62">
                  <c:v>0.99654209702321694</c:v>
                </c:pt>
                <c:pt idx="63">
                  <c:v>0.99985863638341521</c:v>
                </c:pt>
                <c:pt idx="64">
                  <c:v>0.99318491875819348</c:v>
                </c:pt>
                <c:pt idx="65">
                  <c:v>0.97658762572802504</c:v>
                </c:pt>
                <c:pt idx="66">
                  <c:v>0.95023259195853182</c:v>
                </c:pt>
                <c:pt idx="67">
                  <c:v>0.91438314823532263</c:v>
                </c:pt>
                <c:pt idx="68">
                  <c:v>0.86939749034982916</c:v>
                </c:pt>
                <c:pt idx="69">
                  <c:v>0.81572510012536203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DF16-4304-9F3D-A05419202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861760"/>
        <c:axId val="1881855040"/>
      </c:lineChart>
      <c:catAx>
        <c:axId val="188186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55040"/>
        <c:crosses val="autoZero"/>
        <c:auto val="1"/>
        <c:lblAlgn val="ctr"/>
        <c:lblOffset val="100"/>
        <c:noMultiLvlLbl val="0"/>
      </c:catAx>
      <c:valAx>
        <c:axId val="188185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6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customXml" Target="../ink/ink4.xml"/><Relationship Id="rId5" Type="http://schemas.openxmlformats.org/officeDocument/2006/relationships/customXml" Target="../ink/ink3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175260</xdr:colOff>
      <xdr:row>18</xdr:row>
      <xdr:rowOff>23940</xdr:rowOff>
    </xdr:from>
    <xdr:to>
      <xdr:col>17</xdr:col>
      <xdr:colOff>284580</xdr:colOff>
      <xdr:row>19</xdr:row>
      <xdr:rowOff>130500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1165EAC-A768-A479-FCFE-415422C45E0B}"/>
                </a:ext>
              </a:extLst>
            </xdr14:cNvPr>
            <xdr14:cNvContentPartPr/>
          </xdr14:nvContentPartPr>
          <xdr14:nvPr macro=""/>
          <xdr14:xfrm>
            <a:off x="7360920" y="2950020"/>
            <a:ext cx="718920" cy="28944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1165EAC-A768-A479-FCFE-415422C45E0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354800" y="2943900"/>
              <a:ext cx="731160" cy="301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159780</xdr:colOff>
      <xdr:row>18</xdr:row>
      <xdr:rowOff>44820</xdr:rowOff>
    </xdr:from>
    <xdr:to>
      <xdr:col>16</xdr:col>
      <xdr:colOff>273180</xdr:colOff>
      <xdr:row>19</xdr:row>
      <xdr:rowOff>900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8E7762D-CFAF-5B5D-89B1-60CF52A03633}"/>
                </a:ext>
              </a:extLst>
            </xdr14:cNvPr>
            <xdr14:cNvContentPartPr/>
          </xdr14:nvContentPartPr>
          <xdr14:nvPr macro=""/>
          <xdr14:xfrm>
            <a:off x="7345440" y="2970900"/>
            <a:ext cx="113400" cy="1389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8E7762D-CFAF-5B5D-89B1-60CF52A03633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339320" y="2964780"/>
              <a:ext cx="125640" cy="15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190500</xdr:colOff>
      <xdr:row>18</xdr:row>
      <xdr:rowOff>92520</xdr:rowOff>
    </xdr:from>
    <xdr:to>
      <xdr:col>21</xdr:col>
      <xdr:colOff>299820</xdr:colOff>
      <xdr:row>20</xdr:row>
      <xdr:rowOff>16200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AFD7EC99-579B-4E0E-BFBF-70400BCA327D}"/>
                </a:ext>
              </a:extLst>
            </xdr14:cNvPr>
            <xdr14:cNvContentPartPr/>
          </xdr14:nvContentPartPr>
          <xdr14:nvPr macro=""/>
          <xdr14:xfrm>
            <a:off x="9387840" y="3018600"/>
            <a:ext cx="718920" cy="28944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AFD7EC99-579B-4E0E-BFBF-70400BCA327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381720" y="3012480"/>
              <a:ext cx="731160" cy="301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144540</xdr:colOff>
      <xdr:row>18</xdr:row>
      <xdr:rowOff>98160</xdr:rowOff>
    </xdr:from>
    <xdr:to>
      <xdr:col>20</xdr:col>
      <xdr:colOff>257940</xdr:colOff>
      <xdr:row>19</xdr:row>
      <xdr:rowOff>54240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DF9698F2-7308-4ECF-8F5A-E40BBEE6A873}"/>
                </a:ext>
              </a:extLst>
            </xdr14:cNvPr>
            <xdr14:cNvContentPartPr/>
          </xdr14:nvContentPartPr>
          <xdr14:nvPr macro=""/>
          <xdr14:xfrm>
            <a:off x="9341880" y="3024240"/>
            <a:ext cx="113400" cy="13896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DF9698F2-7308-4ECF-8F5A-E40BBEE6A873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9335760" y="3018120"/>
              <a:ext cx="125640" cy="1512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510540</xdr:colOff>
      <xdr:row>1</xdr:row>
      <xdr:rowOff>22860</xdr:rowOff>
    </xdr:from>
    <xdr:to>
      <xdr:col>26</xdr:col>
      <xdr:colOff>144780</xdr:colOff>
      <xdr:row>26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87EDC9-1275-C291-8474-F48CA7EA12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6</xdr:row>
      <xdr:rowOff>102876</xdr:rowOff>
    </xdr:from>
    <xdr:to>
      <xdr:col>52</xdr:col>
      <xdr:colOff>38100</xdr:colOff>
      <xdr:row>21</xdr:row>
      <xdr:rowOff>135261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3DEF01-4CA6-F9FA-AD7E-E4DEB88A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5T06:14:40.02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1 166 24575,'16'44'0,"-3"-10"0,2 0 0,1-1 0,1-1 0,2-1 0,1 0 0,1-2 0,2 0 0,1-2 0,1 0 0,1-2 0,1-1 0,2-1 0,59 38 0,-77-56 0,1 0 0,-1 0 0,1-1 0,0-1 0,21 4 0,31 10 0,-8 0 0,14 5 0,-42-10 0,-1 0 0,2-2 0,-1-2 0,1 0 0,1-2 0,-1-1 0,1-2 0,33 1 0,81-4 0,77-2 0,-212 0 0,1 1 0,-1-2 0,0 1 0,0-1 0,0 0 0,0-1 0,-1 0 0,1-1 0,-1 0 0,0 0 0,10-8 0,36-22 0,-32 24 0,-10 6 0,0-2 0,20-13 0,-24 14 0,0-1 0,-1 0 0,0 0 0,-1-1 0,1 0 0,-1 0 0,8-16 0,-4 8 0,32-41 0,-31 44 0,-1 0 0,-1-1 0,0 0 0,0 0 0,11-29 0,-11 15 0,0 2 0,2-1 0,28-47 0,-29 54 0,0 0 0,-1 0 0,-1-1 0,-1 0 0,-1-1 0,0 1 0,-2-1 0,-1 0 0,1-43 0,-4 65 0,0 0 0,0 0 0,1 0 0,-1 0 0,0-1 0,0 1 0,0 0 0,0 0 0,0 0 0,0 0 0,0 0 0,0 0 0,0 0 0,0-1 0,0 1 0,0 0 0,0 0 0,0 0 0,0 0 0,0 0 0,0 0 0,0 0 0,0-1 0,0 1 0,-1 0 0,1 0 0,0 0 0,0 0 0,0 0 0,0 0 0,0 0 0,0 0 0,0-1 0,0 1 0,0 0 0,0 0 0,-1 0 0,1 0 0,0 0 0,0 0 0,0 0 0,0 0 0,0 0 0,0 0 0,0 0 0,-1 0 0,1 0 0,0 0 0,0 0 0,0 0 0,0 0 0,0 0 0,0 0 0,0 0 0,-1 0 0,1 0 0,0 0 0,0 0 0,-9 8 0,-5 11 0,-44 68 0,-4 7 0,54-70 0,13-20 0,7-12 0,-4 0 0,-1 1 0,0-2 0,0 1 0,-1-1 0,0 0 0,-1 0 0,7-15 0,-8 15 0,1 0 0,-1 0 0,2 0 0,-1 1 0,1 0 0,0 0 0,1 0 0,11-10 0,-16 17 0,0 0 0,-1 0 0,1 0 0,0 0 0,0 1 0,-1-1 0,1 0 0,0 1 0,0-1 0,0 1 0,0 0 0,0 0 0,0 0 0,0 0 0,0 0 0,0 0 0,0 0 0,0 0 0,0 1 0,0-1 0,0 1 0,-1 0 0,1-1 0,0 1 0,0 0 0,-1 0 0,1 0 0,0 0 0,-1 0 0,1 1 0,-1-1 0,1 0 0,-1 1 0,0-1 0,1 1 0,0 2 0,3 1 0,-1 1 0,0 0 0,0 1 0,-1-1 0,0 1 0,0 0 0,0-1 0,2 13 0,-3-12-195,0 0 0,0 1 0,1-1 0,-1 0 0,2 0 0,3 6 0,2 2-6631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5T06:14:44.57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23 24575,'0'362'0,"-1"-406"0,3 0 0,9-61 0,-7 81 0,-1-44 0,0 12 0,-3 54 0,0 0 0,0 1 0,1-1 0,-1 0 0,0 0 0,1 0 0,-1 0 0,1 1 0,0-1 0,0 0 0,0 1 0,0-1 0,0 0 0,0 1 0,0-1 0,0 1 0,0 0 0,1-1 0,-1 1 0,1 0 0,-1 0 0,2-1 0,0 0 0,0 1 0,0 0 0,0 1 0,0-1 0,0 0 0,0 1 0,0 0 0,0 0 0,1 0 0,-1 0 0,0 0 0,4 1 0,3 1 0,1 1 0,-1 0 0,1 1 0,-1 0 0,-1 0 0,18 11 0,-14-6 0,0-1 0,1 0 0,0-1 0,20 7 0,-28-13-227,-1 1-1,0 0 1,0 1-1,0-1 1,7 6-1,0 2-6598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5T06:14:49.77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1 166 24575,'16'44'0,"-3"-10"0,2 0 0,1-1 0,1-1 0,2-1 0,1 0 0,1-2 0,2 0 0,1-2 0,1 0 0,1-2 0,1-1 0,2-1 0,59 38 0,-77-56 0,1 0 0,-1 0 0,1-1 0,0-1 0,21 4 0,31 10 0,-8 0 0,14 5 0,-42-10 0,-1 0 0,2-2 0,-1-2 0,1 0 0,1-2 0,-1-1 0,1-2 0,33 1 0,81-4 0,77-2 0,-212 0 0,1 1 0,-1-2 0,0 1 0,0-1 0,0 0 0,0-1 0,-1 0 0,1-1 0,-1 0 0,0 0 0,10-8 0,36-22 0,-32 24 0,-10 6 0,0-2 0,20-13 0,-24 14 0,0-1 0,-1 0 0,0 0 0,-1-1 0,1 0 0,-1 0 0,8-16 0,-4 8 0,32-41 0,-31 44 0,-1 0 0,-1-1 0,0 0 0,0 0 0,11-29 0,-11 15 0,0 2 0,2-1 0,28-47 0,-29 54 0,0 0 0,-1 0 0,-1-1 0,-1 0 0,-1-1 0,0 1 0,-2-1 0,-1 0 0,1-43 0,-4 65 0,0 0 0,0 0 0,1 0 0,-1 0 0,0-1 0,0 1 0,0 0 0,0 0 0,0 0 0,0 0 0,0 0 0,0 0 0,0 0 0,0-1 0,0 1 0,0 0 0,0 0 0,0 0 0,0 0 0,0 0 0,0 0 0,0 0 0,0-1 0,0 1 0,-1 0 0,1 0 0,0 0 0,0 0 0,0 0 0,0 0 0,0 0 0,0 0 0,0-1 0,0 1 0,0 0 0,0 0 0,-1 0 0,1 0 0,0 0 0,0 0 0,0 0 0,0 0 0,0 0 0,0 0 0,0 0 0,-1 0 0,1 0 0,0 0 0,0 0 0,0 0 0,0 0 0,0 0 0,0 0 0,0 0 0,-1 0 0,1 0 0,0 0 0,0 0 0,-9 8 0,-5 11 0,-44 68 0,-4 7 0,54-70 0,13-20 0,7-12 0,-4 0 0,-1 1 0,0-2 0,0 1 0,-1-1 0,0 0 0,-1 0 0,7-15 0,-8 15 0,1 0 0,-1 0 0,2 0 0,-1 1 0,1 0 0,0 0 0,1 0 0,11-10 0,-16 17 0,0 0 0,-1 0 0,1 0 0,0 0 0,0 1 0,-1-1 0,1 0 0,0 1 0,0-1 0,0 1 0,0 0 0,0 0 0,0 0 0,0 0 0,0 0 0,0 0 0,0 0 0,0 0 0,0 1 0,0-1 0,0 1 0,-1 0 0,1-1 0,0 1 0,0 0 0,-1 0 0,1 0 0,0 0 0,-1 0 0,1 1 0,-1-1 0,1 0 0,-1 1 0,0-1 0,1 1 0,0 2 0,3 1 0,-1 1 0,0 0 0,0 1 0,-1-1 0,0 1 0,0 0 0,0-1 0,2 13 0,-3-12-195,0 0 0,0 1 0,1-1 0,-1 0 0,2 0 0,3 6 0,2 2-6631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5T06:14:56.92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23 24575,'0'362'0,"-1"-406"0,3 0 0,9-61 0,-7 81 0,-1-44 0,0 12 0,-3 54 0,0 0 0,0 1 0,1-1 0,-1 0 0,0 0 0,1 0 0,-1 0 0,1 1 0,0-1 0,0 0 0,0 1 0,0-1 0,0 0 0,0 1 0,0-1 0,0 1 0,0 0 0,1-1 0,-1 1 0,1 0 0,-1 0 0,2-1 0,0 0 0,0 1 0,0 0 0,0 1 0,0-1 0,0 0 0,0 1 0,0 0 0,0 0 0,1 0 0,-1 0 0,0 0 0,4 1 0,3 1 0,1 1 0,-1 0 0,1 1 0,-1 0 0,-1 0 0,18 11 0,-14-6 0,0-1 0,1 0 0,0-1 0,20 7 0,-28-13-227,-1 1-1,0 0 1,0 1-1,0-1 1,7 6-1,0 2-6598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6A21-F47E-4BCE-8458-50B77D308620}">
  <dimension ref="B2:W35"/>
  <sheetViews>
    <sheetView showGridLines="0" tabSelected="1" workbookViewId="0">
      <selection activeCell="C6" sqref="C6"/>
    </sheetView>
  </sheetViews>
  <sheetFormatPr defaultRowHeight="14.4" x14ac:dyDescent="0.3"/>
  <cols>
    <col min="2" max="2" width="5.5546875" style="3" customWidth="1"/>
    <col min="3" max="3" width="6" style="3" customWidth="1"/>
    <col min="4" max="4" width="6.109375" style="3" bestFit="1" customWidth="1"/>
    <col min="5" max="14" width="5.5546875" style="3" bestFit="1" customWidth="1"/>
    <col min="16" max="16" width="13.77734375" bestFit="1" customWidth="1"/>
    <col min="20" max="20" width="2.6640625" customWidth="1"/>
  </cols>
  <sheetData>
    <row r="2" spans="2:23" x14ac:dyDescent="0.3">
      <c r="B2" s="2" t="s">
        <v>3</v>
      </c>
      <c r="C2" s="2">
        <v>12</v>
      </c>
    </row>
    <row r="3" spans="2:23" x14ac:dyDescent="0.3">
      <c r="B3" s="4" t="s">
        <v>0</v>
      </c>
      <c r="C3" s="4">
        <v>3</v>
      </c>
    </row>
    <row r="4" spans="2:23" x14ac:dyDescent="0.3">
      <c r="B4" s="2" t="s">
        <v>1</v>
      </c>
      <c r="C4" s="5">
        <v>0</v>
      </c>
      <c r="D4" s="5">
        <v>0</v>
      </c>
      <c r="E4" s="7">
        <v>1</v>
      </c>
      <c r="F4" s="7">
        <v>1</v>
      </c>
      <c r="G4" s="9">
        <v>2</v>
      </c>
      <c r="H4" s="9">
        <v>2</v>
      </c>
      <c r="I4" s="7">
        <v>3</v>
      </c>
      <c r="J4" s="7">
        <v>3</v>
      </c>
      <c r="K4" s="9">
        <v>4</v>
      </c>
      <c r="L4" s="9">
        <v>4</v>
      </c>
      <c r="M4" s="7">
        <v>5</v>
      </c>
      <c r="N4" s="7">
        <v>5</v>
      </c>
    </row>
    <row r="5" spans="2:23" x14ac:dyDescent="0.3">
      <c r="B5" s="2"/>
      <c r="C5" s="5" t="s">
        <v>4</v>
      </c>
      <c r="D5" s="5" t="s">
        <v>5</v>
      </c>
      <c r="E5" s="7" t="s">
        <v>4</v>
      </c>
      <c r="F5" s="7" t="s">
        <v>5</v>
      </c>
      <c r="G5" s="9" t="s">
        <v>4</v>
      </c>
      <c r="H5" s="9" t="s">
        <v>5</v>
      </c>
      <c r="I5" s="7" t="s">
        <v>4</v>
      </c>
      <c r="J5" s="7" t="s">
        <v>5</v>
      </c>
      <c r="K5" s="9" t="s">
        <v>4</v>
      </c>
      <c r="L5" s="9" t="s">
        <v>5</v>
      </c>
      <c r="M5" s="7" t="s">
        <v>4</v>
      </c>
      <c r="N5" s="7" t="s">
        <v>5</v>
      </c>
    </row>
    <row r="6" spans="2:23" x14ac:dyDescent="0.3">
      <c r="B6" s="2" t="s">
        <v>6</v>
      </c>
      <c r="C6" s="6">
        <f>$C3/(10000^(2*C4/$C$2))</f>
        <v>3</v>
      </c>
      <c r="D6" s="6">
        <f>$C3/(10000^(2*D4/$C$2))</f>
        <v>3</v>
      </c>
      <c r="E6" s="7">
        <f>$C3/(10000^(2*E4/$C$2))</f>
        <v>0.64633040700956501</v>
      </c>
      <c r="F6" s="7">
        <f>$C3/(10000^(2*F4/$C$2))</f>
        <v>0.64633040700956501</v>
      </c>
      <c r="G6" s="6">
        <f t="shared" ref="G6:J6" si="0">$C3/(10000^(2*G4/$C$2))</f>
        <v>0.13924766500838334</v>
      </c>
      <c r="H6" s="6">
        <f t="shared" si="0"/>
        <v>0.13924766500838334</v>
      </c>
      <c r="I6" s="7">
        <f t="shared" si="0"/>
        <v>0.03</v>
      </c>
      <c r="J6" s="7">
        <f t="shared" si="0"/>
        <v>0.03</v>
      </c>
      <c r="K6" s="6">
        <f t="shared" ref="K6:N6" si="1">$C3/(10000^(2*K4/$C$2))</f>
        <v>6.4633040700956467E-3</v>
      </c>
      <c r="L6" s="6">
        <f t="shared" si="1"/>
        <v>6.4633040700956467E-3</v>
      </c>
      <c r="M6" s="7">
        <f t="shared" si="1"/>
        <v>1.3924766500838328E-3</v>
      </c>
      <c r="N6" s="7">
        <f t="shared" si="1"/>
        <v>1.3924766500838328E-3</v>
      </c>
    </row>
    <row r="7" spans="2:23" x14ac:dyDescent="0.3">
      <c r="B7" s="2" t="s">
        <v>2</v>
      </c>
      <c r="C7" s="6">
        <f>SIN($C3/(10000^(2*C4/$C$2)))</f>
        <v>0.14112000805986721</v>
      </c>
      <c r="D7" s="6">
        <f>COS($C3/(10000^(2*D4/$C$2)))</f>
        <v>-0.98999249660044542</v>
      </c>
      <c r="E7" s="8">
        <f>SIN($C3/(10000^(2*E4/$C$2)))</f>
        <v>0.60226103407633136</v>
      </c>
      <c r="F7" s="8">
        <f>COS($C3/(10000^(2*F4/$C$2)))</f>
        <v>0.79829922136584097</v>
      </c>
      <c r="G7" s="6">
        <f>SIN($C3/(10000^(2*G4/$C$2)))</f>
        <v>0.1387981010800505</v>
      </c>
      <c r="H7" s="6">
        <f>COS($C3/(10000^(2*H4/$C$2)))</f>
        <v>0.990320699135675</v>
      </c>
      <c r="I7" s="8">
        <f>SIN($C3/(10000^(2*I4/$C$2)))</f>
        <v>2.999550020249566E-2</v>
      </c>
      <c r="J7" s="8">
        <f>COS($C3/(10000^(2*J4/$C$2)))</f>
        <v>0.99955003374898754</v>
      </c>
      <c r="K7" s="6">
        <f>SIN($C3/(10000^(2*K4/$C$2)))</f>
        <v>6.4632590701896387E-3</v>
      </c>
      <c r="L7" s="6">
        <f>COS($C3/(10000^(2*L4/$C$2)))</f>
        <v>0.99997911292296082</v>
      </c>
      <c r="M7" s="8">
        <f>SIN($C3/(10000^(2*M4/$C$2)))</f>
        <v>1.3924762000838765E-3</v>
      </c>
      <c r="N7" s="8">
        <f>COS($C3/(10000^(2*N4/$C$2)))</f>
        <v>0.99999903050454619</v>
      </c>
    </row>
    <row r="8" spans="2:23" hidden="1" x14ac:dyDescent="0.3">
      <c r="B8" s="10"/>
      <c r="C8" s="11" t="str">
        <f>TEXT(C7, "#,##0.00")</f>
        <v>0.14</v>
      </c>
      <c r="D8" s="11" t="str">
        <f t="shared" ref="D8:N8" si="2">TEXT(D7, "#,##0.00")</f>
        <v>-0.99</v>
      </c>
      <c r="E8" s="11" t="str">
        <f t="shared" si="2"/>
        <v>0.60</v>
      </c>
      <c r="F8" s="11" t="str">
        <f t="shared" si="2"/>
        <v>0.80</v>
      </c>
      <c r="G8" s="11" t="str">
        <f t="shared" si="2"/>
        <v>0.14</v>
      </c>
      <c r="H8" s="11" t="str">
        <f t="shared" si="2"/>
        <v>0.99</v>
      </c>
      <c r="I8" s="11" t="str">
        <f t="shared" si="2"/>
        <v>0.03</v>
      </c>
      <c r="J8" s="11" t="str">
        <f t="shared" si="2"/>
        <v>1.00</v>
      </c>
      <c r="K8" s="11" t="str">
        <f t="shared" si="2"/>
        <v>0.01</v>
      </c>
      <c r="L8" s="11" t="str">
        <f t="shared" si="2"/>
        <v>1.00</v>
      </c>
      <c r="M8" s="11" t="str">
        <f t="shared" si="2"/>
        <v>0.00</v>
      </c>
      <c r="N8" s="11" t="str">
        <f t="shared" si="2"/>
        <v>1.00</v>
      </c>
    </row>
    <row r="9" spans="2:23" x14ac:dyDescent="0.3">
      <c r="B9" s="15" t="str">
        <f>"PE=[" &amp; _xlfn.TEXTJOIN(", ", TRUE, C8:N8) &amp; "]"</f>
        <v>PE=[0.14, -0.99, 0.60, 0.80, 0.14, 0.99, 0.03, 1.00, 0.01, 1.00, 0.00, 1.00]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</row>
    <row r="11" spans="2:23" x14ac:dyDescent="0.3">
      <c r="B11" s="2" t="s">
        <v>3</v>
      </c>
      <c r="C11" s="2">
        <v>12</v>
      </c>
    </row>
    <row r="12" spans="2:23" x14ac:dyDescent="0.3">
      <c r="B12" s="4" t="s">
        <v>0</v>
      </c>
      <c r="C12" s="4">
        <v>3</v>
      </c>
      <c r="Q12" s="14" t="s">
        <v>16</v>
      </c>
    </row>
    <row r="13" spans="2:23" x14ac:dyDescent="0.3">
      <c r="B13" s="2" t="s">
        <v>1</v>
      </c>
      <c r="C13" s="5">
        <v>0</v>
      </c>
      <c r="D13" s="5">
        <v>0</v>
      </c>
      <c r="E13" s="7">
        <v>1</v>
      </c>
      <c r="F13" s="7">
        <v>1</v>
      </c>
      <c r="G13" s="9">
        <v>2</v>
      </c>
      <c r="H13" s="9">
        <v>2</v>
      </c>
      <c r="I13" s="7">
        <v>3</v>
      </c>
      <c r="J13" s="7">
        <v>3</v>
      </c>
      <c r="K13" s="9">
        <v>4</v>
      </c>
      <c r="L13" s="9">
        <v>4</v>
      </c>
      <c r="M13" s="7">
        <v>5</v>
      </c>
      <c r="N13" s="7">
        <v>5</v>
      </c>
      <c r="Q13" s="1" t="s">
        <v>7</v>
      </c>
      <c r="R13" s="1" t="s">
        <v>8</v>
      </c>
      <c r="S13" s="1">
        <v>0.91</v>
      </c>
      <c r="U13" s="1" t="s">
        <v>8</v>
      </c>
      <c r="V13" s="1" t="s">
        <v>9</v>
      </c>
      <c r="W13" s="1">
        <v>0.91</v>
      </c>
    </row>
    <row r="14" spans="2:23" x14ac:dyDescent="0.3">
      <c r="B14" s="2"/>
      <c r="C14" s="5" t="s">
        <v>4</v>
      </c>
      <c r="D14" s="5" t="s">
        <v>5</v>
      </c>
      <c r="E14" s="7" t="s">
        <v>4</v>
      </c>
      <c r="F14" s="7" t="s">
        <v>5</v>
      </c>
      <c r="G14" s="9" t="s">
        <v>4</v>
      </c>
      <c r="H14" s="9" t="s">
        <v>5</v>
      </c>
      <c r="I14" s="7" t="s">
        <v>4</v>
      </c>
      <c r="J14" s="7" t="s">
        <v>5</v>
      </c>
      <c r="K14" s="9" t="s">
        <v>4</v>
      </c>
      <c r="L14" s="9" t="s">
        <v>5</v>
      </c>
      <c r="M14" s="7" t="s">
        <v>4</v>
      </c>
      <c r="N14" s="7" t="s">
        <v>5</v>
      </c>
      <c r="Q14" s="1" t="s">
        <v>7</v>
      </c>
      <c r="R14" s="1" t="s">
        <v>9</v>
      </c>
      <c r="S14" s="1">
        <v>0.74</v>
      </c>
      <c r="U14" s="1" t="s">
        <v>8</v>
      </c>
      <c r="V14" s="1" t="s">
        <v>10</v>
      </c>
      <c r="W14" s="1">
        <v>0.74</v>
      </c>
    </row>
    <row r="15" spans="2:23" x14ac:dyDescent="0.3">
      <c r="B15" s="2" t="s">
        <v>6</v>
      </c>
      <c r="C15" s="6">
        <f>$C12/(10000^(2*C13/$C$2))</f>
        <v>3</v>
      </c>
      <c r="D15" s="6">
        <f>$C12/(10000^(2*D13/$C$2))</f>
        <v>3</v>
      </c>
      <c r="E15" s="7">
        <f>$C12/(10000^(2*E13/$C$2))</f>
        <v>0.64633040700956501</v>
      </c>
      <c r="F15" s="7">
        <f>$C12/(10000^(2*F13/$C$2))</f>
        <v>0.64633040700956501</v>
      </c>
      <c r="G15" s="6">
        <f t="shared" ref="G15:N15" si="3">$C12/(10000^(2*G13/$C$2))</f>
        <v>0.13924766500838334</v>
      </c>
      <c r="H15" s="6">
        <f t="shared" si="3"/>
        <v>0.13924766500838334</v>
      </c>
      <c r="I15" s="7">
        <f t="shared" si="3"/>
        <v>0.03</v>
      </c>
      <c r="J15" s="7">
        <f t="shared" si="3"/>
        <v>0.03</v>
      </c>
      <c r="K15" s="6">
        <f t="shared" si="3"/>
        <v>6.4633040700956467E-3</v>
      </c>
      <c r="L15" s="6">
        <f t="shared" si="3"/>
        <v>6.4633040700956467E-3</v>
      </c>
      <c r="M15" s="7">
        <f t="shared" si="3"/>
        <v>1.3924766500838328E-3</v>
      </c>
      <c r="N15" s="7">
        <f t="shared" si="3"/>
        <v>1.3924766500838328E-3</v>
      </c>
      <c r="Q15" s="1" t="s">
        <v>7</v>
      </c>
      <c r="R15" s="1" t="s">
        <v>10</v>
      </c>
      <c r="S15" s="1">
        <v>0.63</v>
      </c>
      <c r="U15" s="1" t="s">
        <v>8</v>
      </c>
      <c r="V15" s="1" t="s">
        <v>13</v>
      </c>
      <c r="W15" s="1">
        <v>0.63</v>
      </c>
    </row>
    <row r="16" spans="2:23" x14ac:dyDescent="0.3">
      <c r="B16" s="2" t="s">
        <v>2</v>
      </c>
      <c r="C16" s="6">
        <f>SIN($C12/(10000^(2*C13/$C$2)))</f>
        <v>0.14112000805986721</v>
      </c>
      <c r="D16" s="6">
        <f>COS($C12/(10000^(2*D13/$C$2)))</f>
        <v>-0.98999249660044542</v>
      </c>
      <c r="E16" s="8">
        <f>SIN($C12/(10000^(2*E13/$C$2)))</f>
        <v>0.60226103407633136</v>
      </c>
      <c r="F16" s="8">
        <f>COS($C12/(10000^(2*F13/$C$2)))</f>
        <v>0.79829922136584097</v>
      </c>
      <c r="G16" s="6">
        <f t="shared" ref="G16" si="4">SIN($C12/(10000^(2*G13/$C$2)))</f>
        <v>0.1387981010800505</v>
      </c>
      <c r="H16" s="6">
        <f>COS($C12/(10000^(2*H13/$C$2)))</f>
        <v>0.990320699135675</v>
      </c>
      <c r="I16" s="8">
        <f t="shared" ref="I16" si="5">SIN($C12/(10000^(2*I13/$C$2)))</f>
        <v>2.999550020249566E-2</v>
      </c>
      <c r="J16" s="8">
        <f>COS($C12/(10000^(2*J13/$C$2)))</f>
        <v>0.99955003374898754</v>
      </c>
      <c r="K16" s="6">
        <f t="shared" ref="K16" si="6">SIN($C12/(10000^(2*K13/$C$2)))</f>
        <v>6.4632590701896387E-3</v>
      </c>
      <c r="L16" s="6">
        <f>COS($C12/(10000^(2*L13/$C$2)))</f>
        <v>0.99997911292296082</v>
      </c>
      <c r="M16" s="8">
        <f t="shared" ref="M16" si="7">SIN($C12/(10000^(2*M13/$C$2)))</f>
        <v>1.3924762000838765E-3</v>
      </c>
      <c r="N16" s="8">
        <f>COS($C12/(10000^(2*N13/$C$2)))</f>
        <v>0.99999903050454619</v>
      </c>
      <c r="Q16" s="1" t="s">
        <v>7</v>
      </c>
      <c r="R16" s="1" t="s">
        <v>11</v>
      </c>
      <c r="S16" s="1">
        <v>0.78</v>
      </c>
      <c r="U16" s="1" t="s">
        <v>8</v>
      </c>
      <c r="V16" s="1" t="s">
        <v>14</v>
      </c>
      <c r="W16" s="1">
        <v>0.78</v>
      </c>
    </row>
    <row r="17" spans="2:23" hidden="1" x14ac:dyDescent="0.3">
      <c r="B17" s="10"/>
      <c r="C17" s="11" t="str">
        <f>TEXT(C16, "#,##0.00")</f>
        <v>0.14</v>
      </c>
      <c r="D17" s="11" t="str">
        <f t="shared" ref="D17" si="8">TEXT(D16, "#,##0.00")</f>
        <v>-0.99</v>
      </c>
      <c r="E17" s="11" t="str">
        <f t="shared" ref="E17" si="9">TEXT(E16, "#,##0.00")</f>
        <v>0.60</v>
      </c>
      <c r="F17" s="11" t="str">
        <f t="shared" ref="F17" si="10">TEXT(F16, "#,##0.00")</f>
        <v>0.80</v>
      </c>
      <c r="G17" s="11" t="str">
        <f t="shared" ref="G17" si="11">TEXT(G16, "#,##0.00")</f>
        <v>0.14</v>
      </c>
      <c r="H17" s="11" t="str">
        <f t="shared" ref="H17" si="12">TEXT(H16, "#,##0.00")</f>
        <v>0.99</v>
      </c>
      <c r="I17" s="11" t="str">
        <f t="shared" ref="I17" si="13">TEXT(I16, "#,##0.00")</f>
        <v>0.03</v>
      </c>
      <c r="J17" s="11" t="str">
        <f t="shared" ref="J17" si="14">TEXT(J16, "#,##0.00")</f>
        <v>1.00</v>
      </c>
      <c r="K17" s="11" t="str">
        <f t="shared" ref="K17" si="15">TEXT(K16, "#,##0.00")</f>
        <v>0.01</v>
      </c>
      <c r="L17" s="11" t="str">
        <f t="shared" ref="L17" si="16">TEXT(L16, "#,##0.00")</f>
        <v>1.00</v>
      </c>
      <c r="M17" s="11" t="str">
        <f t="shared" ref="M17" si="17">TEXT(M16, "#,##0.00")</f>
        <v>0.00</v>
      </c>
      <c r="N17" s="11" t="str">
        <f t="shared" ref="N17" si="18">TEXT(N16, "#,##0.00")</f>
        <v>1.00</v>
      </c>
      <c r="Q17" s="1" t="s">
        <v>7</v>
      </c>
      <c r="R17" s="1"/>
      <c r="S17" s="1"/>
      <c r="U17" s="1" t="s">
        <v>8</v>
      </c>
      <c r="V17" s="1"/>
      <c r="W17" s="1"/>
    </row>
    <row r="18" spans="2:23" x14ac:dyDescent="0.3">
      <c r="B18" s="15" t="str">
        <f>"PE=[" &amp; _xlfn.TEXTJOIN(", ", TRUE, C17:N17) &amp; "]"</f>
        <v>PE=[0.14, -0.99, 0.60, 0.80, 0.14, 0.99, 0.03, 1.00, 0.01, 1.00, 0.00, 1.00]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Q18" s="1" t="s">
        <v>7</v>
      </c>
      <c r="R18" s="1" t="s">
        <v>12</v>
      </c>
      <c r="S18" s="1">
        <v>0.6</v>
      </c>
      <c r="U18" s="1" t="s">
        <v>8</v>
      </c>
      <c r="V18" s="1" t="s">
        <v>15</v>
      </c>
      <c r="W18" s="1">
        <v>0.6</v>
      </c>
    </row>
    <row r="19" spans="2:23" x14ac:dyDescent="0.3"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2:23" x14ac:dyDescent="0.3">
      <c r="B20" s="2" t="s">
        <v>3</v>
      </c>
      <c r="C20" s="2">
        <v>12</v>
      </c>
    </row>
    <row r="21" spans="2:23" x14ac:dyDescent="0.3">
      <c r="B21" s="4" t="s">
        <v>0</v>
      </c>
      <c r="C21" s="4">
        <v>100</v>
      </c>
    </row>
    <row r="22" spans="2:23" x14ac:dyDescent="0.3">
      <c r="B22" s="2" t="s">
        <v>1</v>
      </c>
      <c r="C22" s="5">
        <v>0</v>
      </c>
      <c r="D22" s="5">
        <v>0</v>
      </c>
      <c r="E22" s="7">
        <v>1</v>
      </c>
      <c r="F22" s="7">
        <v>1</v>
      </c>
      <c r="G22" s="9">
        <v>2</v>
      </c>
      <c r="H22" s="9">
        <v>2</v>
      </c>
      <c r="I22" s="7">
        <v>3</v>
      </c>
      <c r="J22" s="7">
        <v>3</v>
      </c>
      <c r="K22" s="9">
        <v>4</v>
      </c>
      <c r="L22" s="9">
        <v>4</v>
      </c>
      <c r="M22" s="7">
        <v>5</v>
      </c>
      <c r="N22" s="7">
        <v>5</v>
      </c>
    </row>
    <row r="23" spans="2:23" x14ac:dyDescent="0.3">
      <c r="B23" s="2"/>
      <c r="C23" s="5" t="s">
        <v>4</v>
      </c>
      <c r="D23" s="5" t="s">
        <v>5</v>
      </c>
      <c r="E23" s="7" t="s">
        <v>4</v>
      </c>
      <c r="F23" s="7" t="s">
        <v>5</v>
      </c>
      <c r="G23" s="9" t="s">
        <v>4</v>
      </c>
      <c r="H23" s="9" t="s">
        <v>5</v>
      </c>
      <c r="I23" s="7" t="s">
        <v>4</v>
      </c>
      <c r="J23" s="7" t="s">
        <v>5</v>
      </c>
      <c r="K23" s="9" t="s">
        <v>4</v>
      </c>
      <c r="L23" s="9" t="s">
        <v>5</v>
      </c>
      <c r="M23" s="7" t="s">
        <v>4</v>
      </c>
      <c r="N23" s="7" t="s">
        <v>5</v>
      </c>
    </row>
    <row r="24" spans="2:23" x14ac:dyDescent="0.3">
      <c r="B24" s="2" t="s">
        <v>6</v>
      </c>
      <c r="C24" s="6">
        <f>$C21/(10000^(2*C22/$C$2))</f>
        <v>100</v>
      </c>
      <c r="D24" s="6">
        <f>$C21/(10000^(2*D22/$C$2))</f>
        <v>100</v>
      </c>
      <c r="E24" s="7">
        <f>$C21/(10000^(2*E22/$C$2))</f>
        <v>21.544346900318835</v>
      </c>
      <c r="F24" s="7">
        <f>$C21/(10000^(2*F22/$C$2))</f>
        <v>21.544346900318835</v>
      </c>
      <c r="G24" s="6">
        <f t="shared" ref="G24:N24" si="19">$C21/(10000^(2*G22/$C$2))</f>
        <v>4.6415888336127775</v>
      </c>
      <c r="H24" s="6">
        <f t="shared" si="19"/>
        <v>4.6415888336127775</v>
      </c>
      <c r="I24" s="7">
        <f t="shared" si="19"/>
        <v>1</v>
      </c>
      <c r="J24" s="7">
        <f t="shared" si="19"/>
        <v>1</v>
      </c>
      <c r="K24" s="6">
        <f t="shared" si="19"/>
        <v>0.21544346900318823</v>
      </c>
      <c r="L24" s="6">
        <f t="shared" si="19"/>
        <v>0.21544346900318823</v>
      </c>
      <c r="M24" s="7">
        <f t="shared" si="19"/>
        <v>4.641588833612776E-2</v>
      </c>
      <c r="N24" s="7">
        <f t="shared" si="19"/>
        <v>4.641588833612776E-2</v>
      </c>
    </row>
    <row r="25" spans="2:23" x14ac:dyDescent="0.3">
      <c r="B25" s="2" t="s">
        <v>2</v>
      </c>
      <c r="C25" s="6">
        <f>SIN($C21/(10000^(2*C22/$C$2)))</f>
        <v>-0.50636564110975879</v>
      </c>
      <c r="D25" s="6">
        <f>COS($C21/(10000^(2*D22/$C$2)))</f>
        <v>0.86231887228768389</v>
      </c>
      <c r="E25" s="8">
        <f>SIN($C21/(10000^(2*E22/$C$2)))</f>
        <v>0.43208339168008258</v>
      </c>
      <c r="F25" s="8">
        <f>COS($C21/(10000^(2*F22/$C$2)))</f>
        <v>-0.90183365574491414</v>
      </c>
      <c r="G25" s="6">
        <f t="shared" ref="G25" si="20">SIN($C21/(10000^(2*G22/$C$2)))</f>
        <v>-0.99749471638229203</v>
      </c>
      <c r="H25" s="6">
        <f>COS($C21/(10000^(2*H22/$C$2)))</f>
        <v>-7.0741012075108911E-2</v>
      </c>
      <c r="I25" s="8">
        <f t="shared" ref="I25" si="21">SIN($C21/(10000^(2*I22/$C$2)))</f>
        <v>0.8414709848078965</v>
      </c>
      <c r="J25" s="8">
        <f>COS($C21/(10000^(2*J22/$C$2)))</f>
        <v>0.54030230586813977</v>
      </c>
      <c r="K25" s="6">
        <f t="shared" ref="K25" si="22">SIN($C21/(10000^(2*K22/$C$2)))</f>
        <v>0.2137806660552988</v>
      </c>
      <c r="L25" s="6">
        <f>COS($C21/(10000^(2*L22/$C$2)))</f>
        <v>0.97688168517019136</v>
      </c>
      <c r="M25" s="8">
        <f t="shared" ref="M25" si="23">SIN($C21/(10000^(2*M22/$C$2)))</f>
        <v>4.6399223464731243E-2</v>
      </c>
      <c r="N25" s="8">
        <f>COS($C21/(10000^(2*N22/$C$2)))</f>
        <v>0.99892297604063041</v>
      </c>
    </row>
    <row r="26" spans="2:23" hidden="1" x14ac:dyDescent="0.3">
      <c r="B26" s="10"/>
      <c r="C26" s="11" t="str">
        <f>TEXT(C25, "#,##0.00")</f>
        <v>-0.51</v>
      </c>
      <c r="D26" s="11" t="str">
        <f t="shared" ref="D26" si="24">TEXT(D25, "#,##0.00")</f>
        <v>0.86</v>
      </c>
      <c r="E26" s="11" t="str">
        <f t="shared" ref="E26" si="25">TEXT(E25, "#,##0.00")</f>
        <v>0.43</v>
      </c>
      <c r="F26" s="11" t="str">
        <f t="shared" ref="F26" si="26">TEXT(F25, "#,##0.00")</f>
        <v>-0.90</v>
      </c>
      <c r="G26" s="11" t="str">
        <f t="shared" ref="G26" si="27">TEXT(G25, "#,##0.00")</f>
        <v>-1.00</v>
      </c>
      <c r="H26" s="11" t="str">
        <f t="shared" ref="H26" si="28">TEXT(H25, "#,##0.00")</f>
        <v>-0.07</v>
      </c>
      <c r="I26" s="11" t="str">
        <f t="shared" ref="I26" si="29">TEXT(I25, "#,##0.00")</f>
        <v>0.84</v>
      </c>
      <c r="J26" s="11" t="str">
        <f t="shared" ref="J26" si="30">TEXT(J25, "#,##0.00")</f>
        <v>0.54</v>
      </c>
      <c r="K26" s="11" t="str">
        <f t="shared" ref="K26" si="31">TEXT(K25, "#,##0.00")</f>
        <v>0.21</v>
      </c>
      <c r="L26" s="11" t="str">
        <f t="shared" ref="L26" si="32">TEXT(L25, "#,##0.00")</f>
        <v>0.98</v>
      </c>
      <c r="M26" s="11" t="str">
        <f t="shared" ref="M26" si="33">TEXT(M25, "#,##0.00")</f>
        <v>0.05</v>
      </c>
      <c r="N26" s="11" t="str">
        <f t="shared" ref="N26" si="34">TEXT(N25, "#,##0.00")</f>
        <v>1.00</v>
      </c>
    </row>
    <row r="27" spans="2:23" x14ac:dyDescent="0.3">
      <c r="B27" s="15" t="str">
        <f>"PE=[" &amp; _xlfn.TEXTJOIN(", ", TRUE, C26:N26) &amp; "]"</f>
        <v>PE=[-0.51, 0.86, 0.43, -0.90, -1.00, -0.07, 0.84, 0.54, 0.21, 0.98, 0.05, 1.00]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</row>
    <row r="29" spans="2:23" x14ac:dyDescent="0.3">
      <c r="C29" s="3">
        <f>C7*C16</f>
        <v>1.9914856674816989E-2</v>
      </c>
      <c r="D29" s="3">
        <f t="shared" ref="D29:N29" si="35">D7*D16</f>
        <v>0.98008514332518293</v>
      </c>
      <c r="E29" s="3">
        <f t="shared" si="35"/>
        <v>0.36271835316669199</v>
      </c>
      <c r="F29" s="3">
        <f t="shared" si="35"/>
        <v>0.63728164683330801</v>
      </c>
      <c r="G29" s="3">
        <f t="shared" si="35"/>
        <v>1.9264912863427915E-2</v>
      </c>
      <c r="H29" s="3">
        <f t="shared" si="35"/>
        <v>0.98073508713657209</v>
      </c>
      <c r="I29" s="3">
        <f t="shared" si="35"/>
        <v>8.997300323979172E-4</v>
      </c>
      <c r="J29" s="3">
        <f t="shared" si="35"/>
        <v>0.99910026996760215</v>
      </c>
      <c r="K29" s="3">
        <f t="shared" si="35"/>
        <v>4.177371780838863E-5</v>
      </c>
      <c r="L29" s="3">
        <f t="shared" si="35"/>
        <v>0.99995822628219166</v>
      </c>
      <c r="M29" s="3">
        <f t="shared" si="35"/>
        <v>1.9389899678000321E-6</v>
      </c>
      <c r="N29" s="3">
        <f t="shared" si="35"/>
        <v>0.9999980610100323</v>
      </c>
      <c r="O29" s="3">
        <f>SUM(C29:N29)</f>
        <v>6</v>
      </c>
      <c r="P29" s="3">
        <f>O29/(P33*P34)</f>
        <v>1.0000000000000002</v>
      </c>
    </row>
    <row r="30" spans="2:23" x14ac:dyDescent="0.3">
      <c r="C30" s="3">
        <f>C7*C25</f>
        <v>-7.1458323354648995E-2</v>
      </c>
      <c r="D30" s="3">
        <f t="shared" ref="D30:N30" si="36">D7*D25</f>
        <v>-0.85368921324176483</v>
      </c>
      <c r="E30" s="3">
        <f t="shared" si="36"/>
        <v>0.26022699028045504</v>
      </c>
      <c r="F30" s="3">
        <f t="shared" si="36"/>
        <v>-0.71993310518267484</v>
      </c>
      <c r="G30" s="3">
        <f t="shared" si="36"/>
        <v>-0.13845037247124567</v>
      </c>
      <c r="H30" s="3">
        <f t="shared" si="36"/>
        <v>-7.005628853578709E-2</v>
      </c>
      <c r="I30" s="3">
        <f t="shared" si="36"/>
        <v>2.5240343095199482E-2</v>
      </c>
      <c r="J30" s="3">
        <f t="shared" si="36"/>
        <v>0.54005918806515485</v>
      </c>
      <c r="K30" s="3">
        <f t="shared" si="36"/>
        <v>1.3817198289130922E-3</v>
      </c>
      <c r="L30" s="3">
        <f t="shared" si="36"/>
        <v>0.97686128096717506</v>
      </c>
      <c r="M30" s="3">
        <f t="shared" si="36"/>
        <v>6.4609814377011604E-5</v>
      </c>
      <c r="N30" s="3">
        <f t="shared" si="36"/>
        <v>0.99892200758934646</v>
      </c>
      <c r="O30" s="3">
        <f>SUM(C30:N30)</f>
        <v>0.9491688368544996</v>
      </c>
      <c r="P30" s="3">
        <f>O30/(P34*P35)</f>
        <v>0.15819480614241663</v>
      </c>
    </row>
    <row r="33" spans="3:16" x14ac:dyDescent="0.3">
      <c r="C33" s="13">
        <f>C7^2</f>
        <v>1.9914856674816989E-2</v>
      </c>
      <c r="D33" s="13">
        <f t="shared" ref="D33:N33" si="37">D7^2</f>
        <v>0.98008514332518293</v>
      </c>
      <c r="E33" s="13">
        <f t="shared" si="37"/>
        <v>0.36271835316669199</v>
      </c>
      <c r="F33" s="13">
        <f t="shared" si="37"/>
        <v>0.63728164683330801</v>
      </c>
      <c r="G33" s="13">
        <f t="shared" si="37"/>
        <v>1.9264912863427915E-2</v>
      </c>
      <c r="H33" s="13">
        <f t="shared" si="37"/>
        <v>0.98073508713657209</v>
      </c>
      <c r="I33" s="13">
        <f t="shared" si="37"/>
        <v>8.997300323979172E-4</v>
      </c>
      <c r="J33" s="13">
        <f t="shared" si="37"/>
        <v>0.99910026996760215</v>
      </c>
      <c r="K33" s="13">
        <f t="shared" si="37"/>
        <v>4.177371780838863E-5</v>
      </c>
      <c r="L33" s="13">
        <f t="shared" si="37"/>
        <v>0.99995822628219166</v>
      </c>
      <c r="M33" s="13">
        <f t="shared" si="37"/>
        <v>1.9389899678000321E-6</v>
      </c>
      <c r="N33" s="13">
        <f t="shared" si="37"/>
        <v>0.9999980610100323</v>
      </c>
      <c r="O33" s="3">
        <f>SUM(C33:N33)</f>
        <v>6</v>
      </c>
      <c r="P33" s="13">
        <f>SQRT(O33)</f>
        <v>2.4494897427831779</v>
      </c>
    </row>
    <row r="34" spans="3:16" x14ac:dyDescent="0.3">
      <c r="C34" s="13">
        <f>C16^2</f>
        <v>1.9914856674816989E-2</v>
      </c>
      <c r="D34" s="13">
        <f t="shared" ref="D34:N34" si="38">D16^2</f>
        <v>0.98008514332518293</v>
      </c>
      <c r="E34" s="13">
        <f t="shared" si="38"/>
        <v>0.36271835316669199</v>
      </c>
      <c r="F34" s="13">
        <f t="shared" si="38"/>
        <v>0.63728164683330801</v>
      </c>
      <c r="G34" s="13">
        <f t="shared" si="38"/>
        <v>1.9264912863427915E-2</v>
      </c>
      <c r="H34" s="13">
        <f t="shared" si="38"/>
        <v>0.98073508713657209</v>
      </c>
      <c r="I34" s="13">
        <f t="shared" si="38"/>
        <v>8.997300323979172E-4</v>
      </c>
      <c r="J34" s="13">
        <f t="shared" si="38"/>
        <v>0.99910026996760215</v>
      </c>
      <c r="K34" s="13">
        <f t="shared" si="38"/>
        <v>4.177371780838863E-5</v>
      </c>
      <c r="L34" s="13">
        <f t="shared" si="38"/>
        <v>0.99995822628219166</v>
      </c>
      <c r="M34" s="13">
        <f t="shared" si="38"/>
        <v>1.9389899678000321E-6</v>
      </c>
      <c r="N34" s="13">
        <f t="shared" si="38"/>
        <v>0.9999980610100323</v>
      </c>
      <c r="O34" s="3">
        <f>SUM(C34:N34)</f>
        <v>6</v>
      </c>
      <c r="P34" s="13">
        <f>SQRT(O34)</f>
        <v>2.4494897427831779</v>
      </c>
    </row>
    <row r="35" spans="3:16" x14ac:dyDescent="0.3">
      <c r="C35" s="13">
        <f>C25^2</f>
        <v>0.25640616249649706</v>
      </c>
      <c r="D35" s="13">
        <f t="shared" ref="D35:N35" si="39">D25^2</f>
        <v>0.74359383750350283</v>
      </c>
      <c r="E35" s="13">
        <f t="shared" si="39"/>
        <v>0.18669605736576367</v>
      </c>
      <c r="F35" s="13">
        <f t="shared" si="39"/>
        <v>0.81330394263423633</v>
      </c>
      <c r="G35" s="13">
        <f t="shared" si="39"/>
        <v>0.99499570921058922</v>
      </c>
      <c r="H35" s="13">
        <f t="shared" si="39"/>
        <v>5.004290789410705E-3</v>
      </c>
      <c r="I35" s="13">
        <f t="shared" si="39"/>
        <v>0.70807341827357118</v>
      </c>
      <c r="J35" s="13">
        <f t="shared" si="39"/>
        <v>0.29192658172642888</v>
      </c>
      <c r="K35" s="13">
        <f t="shared" si="39"/>
        <v>4.5702173179047186E-2</v>
      </c>
      <c r="L35" s="13">
        <f t="shared" si="39"/>
        <v>0.95429782682095288</v>
      </c>
      <c r="M35" s="13">
        <f t="shared" si="39"/>
        <v>2.1528879381300663E-3</v>
      </c>
      <c r="N35" s="13">
        <f t="shared" si="39"/>
        <v>0.99784711206186982</v>
      </c>
      <c r="O35" s="3">
        <f>SUM(C35:N35)</f>
        <v>6</v>
      </c>
      <c r="P35" s="13">
        <f>SQRT(O35)</f>
        <v>2.4494897427831779</v>
      </c>
    </row>
  </sheetData>
  <mergeCells count="3">
    <mergeCell ref="B9:N9"/>
    <mergeCell ref="B18:N18"/>
    <mergeCell ref="B27:N27"/>
  </mergeCells>
  <pageMargins left="0.7" right="0.7" top="0.75" bottom="0.75" header="0.3" footer="0.3"/>
  <ignoredErrors>
    <ignoredError sqref="D7:E7 F7:M7 D16:M16 D25:M25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A0201-DD0F-4ED1-8186-8ED416BEBE85}">
  <dimension ref="A2:R46"/>
  <sheetViews>
    <sheetView showGridLines="0" workbookViewId="0">
      <selection activeCell="D14" sqref="D14:P14"/>
    </sheetView>
  </sheetViews>
  <sheetFormatPr defaultRowHeight="14.4" x14ac:dyDescent="0.3"/>
  <cols>
    <col min="1" max="2" width="3.77734375" bestFit="1" customWidth="1"/>
    <col min="4" max="4" width="12.33203125" style="3" customWidth="1"/>
    <col min="5" max="5" width="6" style="3" customWidth="1"/>
    <col min="6" max="6" width="6.109375" style="3" bestFit="1" customWidth="1"/>
    <col min="7" max="16" width="5.5546875" style="3" bestFit="1" customWidth="1"/>
    <col min="18" max="18" width="13.77734375" bestFit="1" customWidth="1"/>
    <col min="22" max="22" width="2.6640625" customWidth="1"/>
  </cols>
  <sheetData>
    <row r="2" spans="1:16" x14ac:dyDescent="0.3">
      <c r="D2" s="2" t="s">
        <v>3</v>
      </c>
      <c r="E2" s="2">
        <v>12</v>
      </c>
    </row>
    <row r="3" spans="1:16" x14ac:dyDescent="0.3">
      <c r="A3" t="s">
        <v>22</v>
      </c>
      <c r="D3" s="4" t="s">
        <v>0</v>
      </c>
      <c r="E3" s="4">
        <v>3</v>
      </c>
    </row>
    <row r="4" spans="1:16" x14ac:dyDescent="0.3">
      <c r="D4" s="2" t="s">
        <v>1</v>
      </c>
      <c r="E4" s="19">
        <v>1</v>
      </c>
      <c r="F4" s="19">
        <v>1</v>
      </c>
      <c r="G4" s="20">
        <v>2</v>
      </c>
      <c r="H4" s="20">
        <v>2</v>
      </c>
      <c r="I4" s="21">
        <v>3</v>
      </c>
      <c r="J4" s="21">
        <v>3</v>
      </c>
      <c r="K4" s="20">
        <v>4</v>
      </c>
      <c r="L4" s="20">
        <v>4</v>
      </c>
      <c r="M4" s="21">
        <v>5</v>
      </c>
      <c r="N4" s="21">
        <v>5</v>
      </c>
      <c r="O4" s="20">
        <v>6</v>
      </c>
      <c r="P4" s="20">
        <v>6</v>
      </c>
    </row>
    <row r="5" spans="1:16" x14ac:dyDescent="0.3">
      <c r="A5" s="1" t="s">
        <v>20</v>
      </c>
      <c r="B5" s="1" t="s">
        <v>21</v>
      </c>
      <c r="D5" s="2"/>
      <c r="E5" s="19" t="s">
        <v>23</v>
      </c>
      <c r="F5" s="19" t="s">
        <v>18</v>
      </c>
      <c r="G5" s="20" t="s">
        <v>23</v>
      </c>
      <c r="H5" s="20" t="s">
        <v>18</v>
      </c>
      <c r="I5" s="21" t="s">
        <v>23</v>
      </c>
      <c r="J5" s="21" t="s">
        <v>18</v>
      </c>
      <c r="K5" s="20" t="s">
        <v>23</v>
      </c>
      <c r="L5" s="20" t="s">
        <v>18</v>
      </c>
      <c r="M5" s="21" t="s">
        <v>23</v>
      </c>
      <c r="N5" s="21" t="s">
        <v>18</v>
      </c>
      <c r="O5" s="20" t="s">
        <v>23</v>
      </c>
      <c r="P5" s="20" t="s">
        <v>18</v>
      </c>
    </row>
    <row r="6" spans="1:16" x14ac:dyDescent="0.3">
      <c r="A6" s="1">
        <v>0</v>
      </c>
      <c r="B6" s="1">
        <v>0</v>
      </c>
      <c r="D6" s="2" t="s">
        <v>19</v>
      </c>
      <c r="E6" s="5">
        <v>0.2</v>
      </c>
      <c r="F6" s="5">
        <v>0.5</v>
      </c>
      <c r="G6" s="7">
        <v>0.4</v>
      </c>
      <c r="H6" s="7">
        <v>0.6</v>
      </c>
      <c r="I6" s="9">
        <v>0.2</v>
      </c>
      <c r="J6" s="9">
        <v>0.4</v>
      </c>
      <c r="K6" s="7">
        <v>0.2</v>
      </c>
      <c r="L6" s="7">
        <v>0.1</v>
      </c>
      <c r="M6" s="9">
        <v>0.3</v>
      </c>
      <c r="N6" s="9">
        <v>0.9</v>
      </c>
      <c r="O6" s="7">
        <v>0.7</v>
      </c>
      <c r="P6" s="7">
        <v>0.8</v>
      </c>
    </row>
    <row r="7" spans="1:16" x14ac:dyDescent="0.3">
      <c r="A7" s="1"/>
      <c r="B7" s="1"/>
      <c r="D7" s="2" t="s">
        <v>6</v>
      </c>
      <c r="E7" s="6">
        <f>1/(10000^(2*(E4-1)/$E$2))</f>
        <v>1</v>
      </c>
      <c r="F7" s="6"/>
      <c r="G7" s="8">
        <f>1/(10000^(2*(G4-1)/$E$2))</f>
        <v>0.21544346900318836</v>
      </c>
      <c r="H7" s="8"/>
      <c r="I7" s="6">
        <f>1/(10000^(2*(I4-1)/$E$2))</f>
        <v>4.6415888336127781E-2</v>
      </c>
      <c r="J7" s="6"/>
      <c r="K7" s="8">
        <f>1/(10000^(2*(K4-1)/$E$2))</f>
        <v>0.01</v>
      </c>
      <c r="L7" s="8"/>
      <c r="M7" s="6">
        <f>1/(10000^(2*(M4-1)/$E$2))</f>
        <v>2.1544346900318825E-3</v>
      </c>
      <c r="N7" s="6"/>
      <c r="O7" s="8">
        <f>1/(10000^(2*(O4-1)/$E$2))</f>
        <v>4.6415888336127757E-4</v>
      </c>
      <c r="P7" s="8"/>
    </row>
    <row r="8" spans="1:16" x14ac:dyDescent="0.3">
      <c r="A8" s="1">
        <v>0</v>
      </c>
      <c r="B8" s="1">
        <v>0</v>
      </c>
      <c r="D8" s="2" t="s">
        <v>17</v>
      </c>
      <c r="E8" s="6">
        <f>COS($E3*E7)*E6-SIN($E3*E7)*F6</f>
        <v>-0.26855850335002268</v>
      </c>
      <c r="F8" s="6">
        <f>SIN($E3*E7)*E6+COS($E3*E7)*F6</f>
        <v>-0.46677224668824924</v>
      </c>
      <c r="G8" s="8">
        <f>COS($E3*G7)*G6-SIN($E3*G7)*H6</f>
        <v>-4.2036931899462449E-2</v>
      </c>
      <c r="H8" s="8">
        <f>SIN($E3*G7)*G6+COS($E3*G7)*H6</f>
        <v>0.71988394645003717</v>
      </c>
      <c r="I8" s="6">
        <f>COS($E3*I7)*I6-SIN($E3*I7)*J6</f>
        <v>0.1425448993951148</v>
      </c>
      <c r="J8" s="6">
        <f>SIN($E3*I7)*I6+COS($E3*I7)*J6</f>
        <v>0.42388789987028008</v>
      </c>
      <c r="K8" s="8">
        <f>COS($E3*K7)*K6-SIN($E3*K7)*L6</f>
        <v>0.19691045672954796</v>
      </c>
      <c r="L8" s="8">
        <f>SIN($E3*K7)*K6+COS($E3*K7)*L6</f>
        <v>0.1059541034153979</v>
      </c>
      <c r="M8" s="6">
        <f>COS($E3*M7)*M6-SIN($E3*M7)*N6</f>
        <v>0.29417680071371755</v>
      </c>
      <c r="N8" s="6">
        <f>SIN($E3*M7)*M6+COS($E3*M7)*N6</f>
        <v>0.90192017935172164</v>
      </c>
      <c r="O8" s="8">
        <f>COS($E3*O7)*O6-SIN($E3*O7)*P6</f>
        <v>0.69888534039311523</v>
      </c>
      <c r="P8" s="8">
        <f>SIN($E3*O7)*O6+COS($E3*O7)*P6</f>
        <v>0.80097395774369573</v>
      </c>
    </row>
    <row r="9" spans="1:16" hidden="1" x14ac:dyDescent="0.3">
      <c r="D9" s="10"/>
      <c r="E9" s="11" t="str">
        <f>TEXT(E8, "#,##0.00")</f>
        <v>-0.27</v>
      </c>
      <c r="F9" s="11" t="str">
        <f t="shared" ref="F9:P9" si="0">TEXT(F8, "#,##0.00")</f>
        <v>-0.47</v>
      </c>
      <c r="G9" s="11" t="str">
        <f t="shared" si="0"/>
        <v>-0.04</v>
      </c>
      <c r="H9" s="11" t="str">
        <f t="shared" si="0"/>
        <v>0.72</v>
      </c>
      <c r="I9" s="11" t="str">
        <f t="shared" si="0"/>
        <v>0.14</v>
      </c>
      <c r="J9" s="11" t="str">
        <f t="shared" si="0"/>
        <v>0.42</v>
      </c>
      <c r="K9" s="11" t="str">
        <f t="shared" si="0"/>
        <v>0.20</v>
      </c>
      <c r="L9" s="11" t="str">
        <f t="shared" si="0"/>
        <v>0.11</v>
      </c>
      <c r="M9" s="11" t="str">
        <f t="shared" si="0"/>
        <v>0.29</v>
      </c>
      <c r="N9" s="11" t="str">
        <f t="shared" si="0"/>
        <v>0.90</v>
      </c>
      <c r="O9" s="11" t="str">
        <f t="shared" si="0"/>
        <v>0.70</v>
      </c>
      <c r="P9" s="11" t="str">
        <f t="shared" si="0"/>
        <v>0.80</v>
      </c>
    </row>
    <row r="10" spans="1:16" x14ac:dyDescent="0.3">
      <c r="D10" s="10"/>
      <c r="E10" s="11">
        <f>COS(E3*E7)</f>
        <v>-0.98999249660044542</v>
      </c>
      <c r="F10" s="11">
        <f>SIN(E7*E3)</f>
        <v>0.14112000805986721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x14ac:dyDescent="0.3">
      <c r="D11" s="18" t="str">
        <f>"i=[" &amp; _xlfn.TEXTJOIN(", ", TRUE, E4:P4) &amp; "]"</f>
        <v>i=[1, 1, 2, 2, 3, 3, 4, 4, 5, 5, 6, 6]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</row>
    <row r="12" spans="1:16" x14ac:dyDescent="0.3">
      <c r="D12" s="18" t="str">
        <f>"Q=[" &amp; _xlfn.TEXTJOIN(", ", TRUE, E6:P6) &amp; "]"</f>
        <v>Q=[0.2, 0.5, 0.4, 0.6, 0.2, 0.4, 0.2, 0.1, 0.3, 0.9, 0.7, 0.8]</v>
      </c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</row>
    <row r="13" spans="1:16" x14ac:dyDescent="0.3">
      <c r="D13" s="18" t="str">
        <f>"theta=[" &amp; _xlfn.TEXTJOIN(", ", TRUE, E7:P7) &amp; "]"</f>
        <v>theta=[1, 0.215443469003188, 0.0464158883361278, 0.01, 0.00215443469003188, 0.000464158883361278]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</row>
    <row r="14" spans="1:16" x14ac:dyDescent="0.3">
      <c r="C14" s="16"/>
      <c r="D14" s="18" t="str">
        <f>"RoPE(Q)=[" &amp; _xlfn.TEXTJOIN(", ", TRUE, E9:P9) &amp; "]"</f>
        <v>RoPE(Q)=[-0.27, -0.47, -0.04, 0.72, 0.14, 0.42, 0.20, 0.11, 0.29, 0.90, 0.70, 0.80]</v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  <row r="15" spans="1:16" x14ac:dyDescent="0.3"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spans="1:16" x14ac:dyDescent="0.3">
      <c r="C16" s="3"/>
    </row>
    <row r="17" spans="1:16" x14ac:dyDescent="0.3">
      <c r="D17" s="2" t="s">
        <v>3</v>
      </c>
      <c r="E17" s="2">
        <v>12</v>
      </c>
    </row>
    <row r="18" spans="1:16" x14ac:dyDescent="0.3">
      <c r="A18" t="s">
        <v>22</v>
      </c>
      <c r="D18" s="4" t="s">
        <v>0</v>
      </c>
      <c r="E18" s="4">
        <v>4</v>
      </c>
    </row>
    <row r="19" spans="1:16" x14ac:dyDescent="0.3">
      <c r="D19" s="2" t="s">
        <v>1</v>
      </c>
      <c r="E19" s="19">
        <v>1</v>
      </c>
      <c r="F19" s="19">
        <v>1</v>
      </c>
      <c r="G19" s="20">
        <v>2</v>
      </c>
      <c r="H19" s="20">
        <v>2</v>
      </c>
      <c r="I19" s="21">
        <v>3</v>
      </c>
      <c r="J19" s="21">
        <v>3</v>
      </c>
      <c r="K19" s="20">
        <v>4</v>
      </c>
      <c r="L19" s="20">
        <v>4</v>
      </c>
      <c r="M19" s="21">
        <v>5</v>
      </c>
      <c r="N19" s="21">
        <v>5</v>
      </c>
      <c r="O19" s="20">
        <v>6</v>
      </c>
      <c r="P19" s="20">
        <v>6</v>
      </c>
    </row>
    <row r="20" spans="1:16" x14ac:dyDescent="0.3">
      <c r="A20" s="1" t="s">
        <v>20</v>
      </c>
      <c r="B20" s="1" t="s">
        <v>21</v>
      </c>
      <c r="D20" s="2"/>
      <c r="E20" s="19" t="s">
        <v>23</v>
      </c>
      <c r="F20" s="19" t="s">
        <v>18</v>
      </c>
      <c r="G20" s="20" t="s">
        <v>23</v>
      </c>
      <c r="H20" s="20" t="s">
        <v>18</v>
      </c>
      <c r="I20" s="21" t="s">
        <v>23</v>
      </c>
      <c r="J20" s="21" t="s">
        <v>18</v>
      </c>
      <c r="K20" s="20" t="s">
        <v>23</v>
      </c>
      <c r="L20" s="20" t="s">
        <v>18</v>
      </c>
      <c r="M20" s="21" t="s">
        <v>23</v>
      </c>
      <c r="N20" s="21" t="s">
        <v>18</v>
      </c>
      <c r="O20" s="20" t="s">
        <v>23</v>
      </c>
      <c r="P20" s="20" t="s">
        <v>18</v>
      </c>
    </row>
    <row r="21" spans="1:16" x14ac:dyDescent="0.3">
      <c r="A21" s="1">
        <v>0</v>
      </c>
      <c r="B21" s="1">
        <v>0</v>
      </c>
      <c r="D21" s="2" t="s">
        <v>24</v>
      </c>
      <c r="E21" s="5">
        <v>0.3</v>
      </c>
      <c r="F21" s="5">
        <v>0.4</v>
      </c>
      <c r="G21" s="7">
        <v>0.1</v>
      </c>
      <c r="H21" s="7">
        <v>0.2</v>
      </c>
      <c r="I21" s="9">
        <v>0.7</v>
      </c>
      <c r="J21" s="9">
        <v>0.2</v>
      </c>
      <c r="K21" s="7">
        <v>0.1</v>
      </c>
      <c r="L21" s="7">
        <v>0.4</v>
      </c>
      <c r="M21" s="9">
        <v>0.3</v>
      </c>
      <c r="N21" s="9">
        <v>0.2</v>
      </c>
      <c r="O21" s="7">
        <v>0.1</v>
      </c>
      <c r="P21" s="7">
        <v>0.5</v>
      </c>
    </row>
    <row r="22" spans="1:16" ht="14.4" customHeight="1" x14ac:dyDescent="0.3">
      <c r="A22" s="1"/>
      <c r="B22" s="1"/>
      <c r="D22" s="2" t="s">
        <v>6</v>
      </c>
      <c r="E22" s="6">
        <f>1/(10000^(2*(E19-1)/$E$2))</f>
        <v>1</v>
      </c>
      <c r="F22" s="6"/>
      <c r="G22" s="8">
        <f>1/(10000^(2*(G19-1)/$E$2))</f>
        <v>0.21544346900318836</v>
      </c>
      <c r="H22" s="8"/>
      <c r="I22" s="6">
        <f>1/(10000^(2*(I19-1)/$E$2))</f>
        <v>4.6415888336127781E-2</v>
      </c>
      <c r="J22" s="6"/>
      <c r="K22" s="8">
        <f>1/(10000^(2*(K19-1)/$E$2))</f>
        <v>0.01</v>
      </c>
      <c r="L22" s="8"/>
      <c r="M22" s="6">
        <f>1/(10000^(2*(M19-1)/$E$2))</f>
        <v>2.1544346900318825E-3</v>
      </c>
      <c r="N22" s="6"/>
      <c r="O22" s="8">
        <f>1/(10000^(2*(O19-1)/$E$2))</f>
        <v>4.6415888336127757E-4</v>
      </c>
      <c r="P22" s="8"/>
    </row>
    <row r="23" spans="1:16" x14ac:dyDescent="0.3">
      <c r="A23" s="1">
        <v>0</v>
      </c>
      <c r="B23" s="1">
        <v>0</v>
      </c>
      <c r="D23" s="2" t="s">
        <v>17</v>
      </c>
      <c r="E23" s="6">
        <f>COS($E18*E22)*E21-SIN($E18*E22)*F21</f>
        <v>0.10662791186408774</v>
      </c>
      <c r="F23" s="6">
        <f>SIN($E18*E22)*E21+COS($E18*E22)*F21</f>
        <v>-0.4884981969378232</v>
      </c>
      <c r="G23" s="8">
        <f>COS($E18*G22)*G21-SIN($E18*G22)*H21</f>
        <v>-8.6690530263776641E-2</v>
      </c>
      <c r="H23" s="8">
        <f>SIN($E18*G22)*G21+COS($E18*G22)*H21</f>
        <v>0.20611829604036908</v>
      </c>
      <c r="I23" s="6">
        <f>COS($E18*I22)*I21-SIN($E18*I22)*J21</f>
        <v>0.65105003841060327</v>
      </c>
      <c r="J23" s="6">
        <f>SIN($E18*I22)*I21+COS($E18*I22)*J21</f>
        <v>0.3257819017157827</v>
      </c>
      <c r="K23" s="8">
        <f>COS($E18*K22)*K21-SIN($E18*K22)*L21</f>
        <v>8.3924276991444127E-2</v>
      </c>
      <c r="L23" s="8">
        <f>SIN($E18*K22)*K21+COS($E18*K22)*L21</f>
        <v>0.40367897608305459</v>
      </c>
      <c r="M23" s="6">
        <f>COS($E18*M22)*M21-SIN($E18*M22)*N21</f>
        <v>0.29826533383696968</v>
      </c>
      <c r="N23" s="6">
        <f>SIN($E18*M22)*M21+COS($E18*M22)*N21</f>
        <v>0.20257786313198445</v>
      </c>
      <c r="O23" s="8">
        <f>COS($E18*O22)*O21-SIN($E18*O22)*P21</f>
        <v>9.9071510411885E-2</v>
      </c>
      <c r="P23" s="8">
        <f>SIN($E18*O22)*O21+COS($E18*O22)*P21</f>
        <v>0.50018480167304935</v>
      </c>
    </row>
    <row r="24" spans="1:16" hidden="1" x14ac:dyDescent="0.3">
      <c r="D24" s="10"/>
      <c r="E24" s="11" t="str">
        <f>TEXT(E23, "#,##0.00")</f>
        <v>0.11</v>
      </c>
      <c r="F24" s="11" t="str">
        <f t="shared" ref="F24:P24" si="1">TEXT(F23, "#,##0.00")</f>
        <v>-0.49</v>
      </c>
      <c r="G24" s="11" t="str">
        <f t="shared" si="1"/>
        <v>-0.09</v>
      </c>
      <c r="H24" s="11" t="str">
        <f t="shared" si="1"/>
        <v>0.21</v>
      </c>
      <c r="I24" s="11" t="str">
        <f t="shared" si="1"/>
        <v>0.65</v>
      </c>
      <c r="J24" s="11" t="str">
        <f t="shared" si="1"/>
        <v>0.33</v>
      </c>
      <c r="K24" s="11" t="str">
        <f t="shared" si="1"/>
        <v>0.08</v>
      </c>
      <c r="L24" s="11" t="str">
        <f t="shared" si="1"/>
        <v>0.40</v>
      </c>
      <c r="M24" s="11" t="str">
        <f t="shared" si="1"/>
        <v>0.30</v>
      </c>
      <c r="N24" s="11" t="str">
        <f t="shared" si="1"/>
        <v>0.20</v>
      </c>
      <c r="O24" s="11" t="str">
        <f t="shared" si="1"/>
        <v>0.10</v>
      </c>
      <c r="P24" s="11" t="str">
        <f t="shared" si="1"/>
        <v>0.50</v>
      </c>
    </row>
    <row r="25" spans="1:16" x14ac:dyDescent="0.3">
      <c r="D25" s="10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spans="1:16" x14ac:dyDescent="0.3">
      <c r="D26" s="18" t="str">
        <f>"i=[" &amp; _xlfn.TEXTJOIN(", ", TRUE, E19:P19) &amp; "]"</f>
        <v>i=[1, 1, 2, 2, 3, 3, 4, 4, 5, 5, 6, 6]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</row>
    <row r="27" spans="1:16" x14ac:dyDescent="0.3">
      <c r="D27" s="18" t="str">
        <f>"K=[" &amp; _xlfn.TEXTJOIN(", ", TRUE, E21:P21) &amp; "]"</f>
        <v>K=[0.3, 0.4, 0.1, 0.2, 0.7, 0.2, 0.1, 0.4, 0.3, 0.2, 0.1, 0.5]</v>
      </c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</row>
    <row r="28" spans="1:16" x14ac:dyDescent="0.3">
      <c r="D28" s="18" t="str">
        <f>"theta=[" &amp; _xlfn.TEXTJOIN(", ", TRUE, E22:P22) &amp; "]"</f>
        <v>theta=[1, 0.215443469003188, 0.0464158883361278, 0.01, 0.00215443469003188, 0.000464158883361278]</v>
      </c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</row>
    <row r="29" spans="1:16" x14ac:dyDescent="0.3">
      <c r="C29" s="16"/>
      <c r="D29" s="18" t="str">
        <f>"RoPE(Q)=[" &amp; _xlfn.TEXTJOIN(", ", TRUE, E24:P24) &amp; "]"</f>
        <v>RoPE(Q)=[0.11, -0.49, -0.09, 0.21, 0.65, 0.33, 0.08, 0.40, 0.30, 0.20, 0.10, 0.50]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</row>
    <row r="30" spans="1:16" x14ac:dyDescent="0.3">
      <c r="C30" s="3"/>
    </row>
    <row r="31" spans="1:16" ht="14.4" hidden="1" customHeight="1" x14ac:dyDescent="0.3">
      <c r="C31" s="3"/>
    </row>
    <row r="32" spans="1:16" x14ac:dyDescent="0.3">
      <c r="C32" s="3"/>
    </row>
    <row r="33" spans="4:18" x14ac:dyDescent="0.3">
      <c r="D33" s="3" t="s">
        <v>25</v>
      </c>
      <c r="E33" s="3">
        <f>E6*E21</f>
        <v>0.06</v>
      </c>
      <c r="F33" s="3">
        <f t="shared" ref="F33:P33" si="2">F6*F21</f>
        <v>0.2</v>
      </c>
      <c r="G33" s="3">
        <f t="shared" si="2"/>
        <v>4.0000000000000008E-2</v>
      </c>
      <c r="H33" s="3">
        <f t="shared" si="2"/>
        <v>0.12</v>
      </c>
      <c r="I33" s="3">
        <f t="shared" si="2"/>
        <v>0.13999999999999999</v>
      </c>
      <c r="J33" s="3">
        <f t="shared" si="2"/>
        <v>8.0000000000000016E-2</v>
      </c>
      <c r="K33" s="3">
        <f t="shared" si="2"/>
        <v>2.0000000000000004E-2</v>
      </c>
      <c r="L33" s="3">
        <f t="shared" si="2"/>
        <v>4.0000000000000008E-2</v>
      </c>
      <c r="M33" s="3">
        <f t="shared" si="2"/>
        <v>0.09</v>
      </c>
      <c r="N33" s="3">
        <f t="shared" si="2"/>
        <v>0.18000000000000002</v>
      </c>
      <c r="O33" s="3">
        <f t="shared" si="2"/>
        <v>6.9999999999999993E-2</v>
      </c>
      <c r="P33" s="3">
        <f t="shared" si="2"/>
        <v>0.4</v>
      </c>
    </row>
    <row r="34" spans="4:18" x14ac:dyDescent="0.3">
      <c r="D34" s="3" t="s">
        <v>26</v>
      </c>
      <c r="E34" s="3">
        <f>E8*E23</f>
        <v>-2.863583242555753E-2</v>
      </c>
      <c r="F34" s="3">
        <f t="shared" ref="F34:P34" si="3">F8*F23</f>
        <v>0.22801740088782657</v>
      </c>
      <c r="G34" s="3">
        <f t="shared" si="3"/>
        <v>3.6442039170266672E-3</v>
      </c>
      <c r="H34" s="3">
        <f t="shared" si="3"/>
        <v>0.14838125238909797</v>
      </c>
      <c r="I34" s="3">
        <f t="shared" si="3"/>
        <v>9.2803862226425074E-2</v>
      </c>
      <c r="J34" s="3">
        <f t="shared" si="3"/>
        <v>0.13809500613404913</v>
      </c>
      <c r="K34" s="3">
        <f t="shared" si="3"/>
        <v>1.6525567713082355E-2</v>
      </c>
      <c r="L34" s="3">
        <f t="shared" si="3"/>
        <v>4.2771443978525905E-2</v>
      </c>
      <c r="M34" s="3">
        <f t="shared" si="3"/>
        <v>8.774274167196866E-2</v>
      </c>
      <c r="N34" s="3">
        <f t="shared" si="3"/>
        <v>0.18270906264868794</v>
      </c>
      <c r="O34" s="3">
        <f t="shared" si="3"/>
        <v>6.9239626277470309E-2</v>
      </c>
      <c r="P34" s="3">
        <f t="shared" si="3"/>
        <v>0.40063500019930787</v>
      </c>
      <c r="Q34" s="3"/>
      <c r="R34" s="3"/>
    </row>
    <row r="35" spans="4:18" hidden="1" x14ac:dyDescent="0.3">
      <c r="D35" s="10"/>
      <c r="E35" s="11" t="str">
        <f>TEXT(E34, "#,##0.00")</f>
        <v>-0.03</v>
      </c>
      <c r="F35" s="11" t="str">
        <f t="shared" ref="F35:P35" si="4">TEXT(F34, "#,##0.00")</f>
        <v>0.23</v>
      </c>
      <c r="G35" s="11" t="str">
        <f t="shared" si="4"/>
        <v>0.00</v>
      </c>
      <c r="H35" s="11" t="str">
        <f t="shared" si="4"/>
        <v>0.15</v>
      </c>
      <c r="I35" s="11" t="str">
        <f t="shared" si="4"/>
        <v>0.09</v>
      </c>
      <c r="J35" s="11" t="str">
        <f t="shared" si="4"/>
        <v>0.14</v>
      </c>
      <c r="K35" s="11" t="str">
        <f t="shared" si="4"/>
        <v>0.02</v>
      </c>
      <c r="L35" s="11" t="str">
        <f t="shared" si="4"/>
        <v>0.04</v>
      </c>
      <c r="M35" s="11" t="str">
        <f t="shared" si="4"/>
        <v>0.09</v>
      </c>
      <c r="N35" s="11" t="str">
        <f t="shared" si="4"/>
        <v>0.18</v>
      </c>
      <c r="O35" s="11" t="str">
        <f t="shared" si="4"/>
        <v>0.07</v>
      </c>
      <c r="P35" s="11" t="str">
        <f t="shared" si="4"/>
        <v>0.40</v>
      </c>
      <c r="Q35" s="3"/>
      <c r="R35" s="3"/>
    </row>
    <row r="36" spans="4:18" x14ac:dyDescent="0.3"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3"/>
      <c r="R36" s="13"/>
    </row>
    <row r="37" spans="4:18" x14ac:dyDescent="0.3">
      <c r="D37" s="18" t="str">
        <f>"K=[" &amp; _xlfn.TEXTJOIN(", ", TRUE, E33:P33) &amp; "]"</f>
        <v>K=[0.06, 0.2, 0.04, 0.12, 0.14, 0.08, 0.02, 0.04, 0.09, 0.18, 0.07, 0.4]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3"/>
      <c r="R37" s="13"/>
    </row>
    <row r="38" spans="4:18" x14ac:dyDescent="0.3">
      <c r="D38" s="18" t="str">
        <f>"RoPE(Q).Rope(K)=[" &amp; _xlfn.TEXTJOIN(", ", TRUE, E35:P35) &amp; "]"</f>
        <v>RoPE(Q).Rope(K)=[-0.03, 0.23, 0.00, 0.15, 0.09, 0.14, 0.02, 0.04, 0.09, 0.18, 0.07, 0.40]</v>
      </c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3"/>
      <c r="R38" s="13"/>
    </row>
    <row r="39" spans="4:18" x14ac:dyDescent="0.3">
      <c r="D39" s="3" t="s">
        <v>27</v>
      </c>
      <c r="E39" s="3">
        <f>SUM(E33:P33)</f>
        <v>1.4400000000000004</v>
      </c>
    </row>
    <row r="40" spans="4:18" x14ac:dyDescent="0.3">
      <c r="D40" s="3" t="s">
        <v>28</v>
      </c>
      <c r="E40" s="3">
        <f>SUM(E34:P34)</f>
        <v>1.3819293356179108</v>
      </c>
    </row>
    <row r="43" spans="4:18" x14ac:dyDescent="0.3">
      <c r="E43" s="3" t="s">
        <v>29</v>
      </c>
      <c r="F43" s="3">
        <v>3</v>
      </c>
    </row>
    <row r="44" spans="4:18" x14ac:dyDescent="0.3">
      <c r="E44" s="3" t="s">
        <v>30</v>
      </c>
      <c r="F44" s="3">
        <v>3</v>
      </c>
      <c r="G44" s="3">
        <v>4</v>
      </c>
      <c r="H44" s="3">
        <v>5</v>
      </c>
      <c r="I44" s="3">
        <v>6</v>
      </c>
      <c r="J44" s="3">
        <v>7</v>
      </c>
      <c r="K44" s="3">
        <v>8</v>
      </c>
      <c r="L44" s="3">
        <v>9</v>
      </c>
      <c r="M44" s="3">
        <v>10</v>
      </c>
    </row>
    <row r="45" spans="4:18" x14ac:dyDescent="0.3">
      <c r="E45" s="3" t="s">
        <v>25</v>
      </c>
      <c r="F45" s="3">
        <v>1.44</v>
      </c>
    </row>
    <row r="46" spans="4:18" x14ac:dyDescent="0.3">
      <c r="E46" s="3" t="s">
        <v>26</v>
      </c>
      <c r="F46" s="3">
        <v>1.44</v>
      </c>
      <c r="G46" s="3">
        <f>1.38</f>
        <v>1.38</v>
      </c>
      <c r="H46" s="3">
        <v>1.1299999999999999</v>
      </c>
      <c r="I46" s="3">
        <v>0.92</v>
      </c>
      <c r="J46" s="3">
        <v>0.93</v>
      </c>
      <c r="K46" s="3">
        <v>1.1299999999999999</v>
      </c>
      <c r="L46" s="3">
        <v>1.32</v>
      </c>
      <c r="M46" s="3">
        <v>1.31</v>
      </c>
    </row>
  </sheetData>
  <mergeCells count="11">
    <mergeCell ref="D26:P26"/>
    <mergeCell ref="D27:P27"/>
    <mergeCell ref="D28:P28"/>
    <mergeCell ref="D29:P29"/>
    <mergeCell ref="D38:P38"/>
    <mergeCell ref="D36:P36"/>
    <mergeCell ref="D37:P37"/>
    <mergeCell ref="D14:P14"/>
    <mergeCell ref="D12:P12"/>
    <mergeCell ref="D11:P11"/>
    <mergeCell ref="D13:P13"/>
  </mergeCells>
  <pageMargins left="0.7" right="0.7" top="0.75" bottom="0.75" header="0.3" footer="0.3"/>
  <ignoredErrors>
    <ignoredError sqref="F8 H8 J8 L8 N8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3B6B3-2697-4AB7-B101-B5D320626EF4}">
  <dimension ref="B2:BS7"/>
  <sheetViews>
    <sheetView workbookViewId="0">
      <selection activeCell="BE12" sqref="BE12"/>
    </sheetView>
  </sheetViews>
  <sheetFormatPr defaultColWidth="2" defaultRowHeight="14.4" x14ac:dyDescent="0.3"/>
  <cols>
    <col min="2" max="7" width="5.88671875" customWidth="1"/>
  </cols>
  <sheetData>
    <row r="2" spans="2:71" x14ac:dyDescent="0.3">
      <c r="B2">
        <v>0</v>
      </c>
      <c r="C2">
        <f>B2+0.1</f>
        <v>0.1</v>
      </c>
      <c r="D2">
        <f t="shared" ref="D2:BO2" si="0">C2+0.1</f>
        <v>0.2</v>
      </c>
      <c r="E2">
        <f t="shared" si="0"/>
        <v>0.30000000000000004</v>
      </c>
      <c r="F2">
        <f t="shared" si="0"/>
        <v>0.4</v>
      </c>
      <c r="G2">
        <f t="shared" si="0"/>
        <v>0.5</v>
      </c>
      <c r="H2">
        <f t="shared" si="0"/>
        <v>0.6</v>
      </c>
      <c r="I2">
        <f t="shared" si="0"/>
        <v>0.7</v>
      </c>
      <c r="J2">
        <f t="shared" si="0"/>
        <v>0.79999999999999993</v>
      </c>
      <c r="K2">
        <f t="shared" si="0"/>
        <v>0.89999999999999991</v>
      </c>
      <c r="L2">
        <f t="shared" si="0"/>
        <v>0.99999999999999989</v>
      </c>
      <c r="M2">
        <f t="shared" si="0"/>
        <v>1.0999999999999999</v>
      </c>
      <c r="N2">
        <f t="shared" si="0"/>
        <v>1.2</v>
      </c>
      <c r="O2">
        <f t="shared" si="0"/>
        <v>1.3</v>
      </c>
      <c r="P2">
        <f t="shared" si="0"/>
        <v>1.4000000000000001</v>
      </c>
      <c r="Q2">
        <f t="shared" si="0"/>
        <v>1.5000000000000002</v>
      </c>
      <c r="R2">
        <f t="shared" si="0"/>
        <v>1.6000000000000003</v>
      </c>
      <c r="S2">
        <f t="shared" si="0"/>
        <v>1.7000000000000004</v>
      </c>
      <c r="T2">
        <f t="shared" si="0"/>
        <v>1.8000000000000005</v>
      </c>
      <c r="U2">
        <f t="shared" si="0"/>
        <v>1.9000000000000006</v>
      </c>
      <c r="V2">
        <f t="shared" si="0"/>
        <v>2.0000000000000004</v>
      </c>
      <c r="W2">
        <f t="shared" si="0"/>
        <v>2.1000000000000005</v>
      </c>
      <c r="X2">
        <f t="shared" si="0"/>
        <v>2.2000000000000006</v>
      </c>
      <c r="Y2">
        <f t="shared" si="0"/>
        <v>2.3000000000000007</v>
      </c>
      <c r="Z2">
        <f t="shared" si="0"/>
        <v>2.4000000000000008</v>
      </c>
      <c r="AA2">
        <f t="shared" si="0"/>
        <v>2.5000000000000009</v>
      </c>
      <c r="AB2">
        <f t="shared" si="0"/>
        <v>2.600000000000001</v>
      </c>
      <c r="AC2">
        <f t="shared" si="0"/>
        <v>2.7000000000000011</v>
      </c>
      <c r="AD2">
        <f t="shared" si="0"/>
        <v>2.8000000000000012</v>
      </c>
      <c r="AE2">
        <f t="shared" si="0"/>
        <v>2.9000000000000012</v>
      </c>
      <c r="AF2">
        <f t="shared" si="0"/>
        <v>3.0000000000000013</v>
      </c>
      <c r="AG2">
        <f t="shared" si="0"/>
        <v>3.1000000000000014</v>
      </c>
      <c r="AH2">
        <f t="shared" si="0"/>
        <v>3.2000000000000015</v>
      </c>
      <c r="AI2">
        <f t="shared" si="0"/>
        <v>3.3000000000000016</v>
      </c>
      <c r="AJ2">
        <f t="shared" si="0"/>
        <v>3.4000000000000017</v>
      </c>
      <c r="AK2">
        <f t="shared" si="0"/>
        <v>3.5000000000000018</v>
      </c>
      <c r="AL2">
        <f t="shared" si="0"/>
        <v>3.6000000000000019</v>
      </c>
      <c r="AM2">
        <f t="shared" si="0"/>
        <v>3.700000000000002</v>
      </c>
      <c r="AN2">
        <f t="shared" si="0"/>
        <v>3.800000000000002</v>
      </c>
      <c r="AO2">
        <f t="shared" si="0"/>
        <v>3.9000000000000021</v>
      </c>
      <c r="AP2">
        <f t="shared" si="0"/>
        <v>4.0000000000000018</v>
      </c>
      <c r="AQ2">
        <f t="shared" si="0"/>
        <v>4.1000000000000014</v>
      </c>
      <c r="AR2">
        <f t="shared" si="0"/>
        <v>4.2000000000000011</v>
      </c>
      <c r="AS2">
        <f t="shared" si="0"/>
        <v>4.3000000000000007</v>
      </c>
      <c r="AT2">
        <f t="shared" si="0"/>
        <v>4.4000000000000004</v>
      </c>
      <c r="AU2">
        <f t="shared" si="0"/>
        <v>4.5</v>
      </c>
      <c r="AV2">
        <f t="shared" si="0"/>
        <v>4.5999999999999996</v>
      </c>
      <c r="AW2">
        <f t="shared" si="0"/>
        <v>4.6999999999999993</v>
      </c>
      <c r="AX2">
        <f t="shared" si="0"/>
        <v>4.7999999999999989</v>
      </c>
      <c r="AY2">
        <f t="shared" si="0"/>
        <v>4.8999999999999986</v>
      </c>
      <c r="AZ2">
        <f t="shared" si="0"/>
        <v>4.9999999999999982</v>
      </c>
      <c r="BA2">
        <f t="shared" si="0"/>
        <v>5.0999999999999979</v>
      </c>
      <c r="BB2">
        <f t="shared" si="0"/>
        <v>5.1999999999999975</v>
      </c>
      <c r="BC2">
        <f t="shared" si="0"/>
        <v>5.2999999999999972</v>
      </c>
      <c r="BD2">
        <f t="shared" si="0"/>
        <v>5.3999999999999968</v>
      </c>
      <c r="BE2">
        <f t="shared" si="0"/>
        <v>5.4999999999999964</v>
      </c>
      <c r="BF2">
        <f t="shared" si="0"/>
        <v>5.5999999999999961</v>
      </c>
      <c r="BG2">
        <f t="shared" si="0"/>
        <v>5.6999999999999957</v>
      </c>
      <c r="BH2">
        <f t="shared" si="0"/>
        <v>5.7999999999999954</v>
      </c>
      <c r="BI2">
        <f t="shared" si="0"/>
        <v>5.899999999999995</v>
      </c>
      <c r="BJ2">
        <f t="shared" si="0"/>
        <v>5.9999999999999947</v>
      </c>
      <c r="BK2">
        <f t="shared" si="0"/>
        <v>6.0999999999999943</v>
      </c>
      <c r="BL2">
        <f t="shared" si="0"/>
        <v>6.199999999999994</v>
      </c>
      <c r="BM2">
        <f t="shared" si="0"/>
        <v>6.2999999999999936</v>
      </c>
      <c r="BN2">
        <f t="shared" si="0"/>
        <v>6.3999999999999932</v>
      </c>
      <c r="BO2">
        <f t="shared" si="0"/>
        <v>6.4999999999999929</v>
      </c>
      <c r="BP2">
        <f t="shared" ref="BP2:BS2" si="1">BO2+0.1</f>
        <v>6.5999999999999925</v>
      </c>
      <c r="BQ2">
        <f t="shared" si="1"/>
        <v>6.6999999999999922</v>
      </c>
      <c r="BR2">
        <f t="shared" si="1"/>
        <v>6.7999999999999918</v>
      </c>
      <c r="BS2">
        <f t="shared" si="1"/>
        <v>6.8999999999999915</v>
      </c>
    </row>
    <row r="3" spans="2:71" x14ac:dyDescent="0.3">
      <c r="B3">
        <f>SIN(B2)</f>
        <v>0</v>
      </c>
      <c r="C3">
        <f t="shared" ref="C3:BN3" si="2">SIN(C2)</f>
        <v>9.9833416646828155E-2</v>
      </c>
      <c r="D3">
        <f t="shared" si="2"/>
        <v>0.19866933079506122</v>
      </c>
      <c r="E3">
        <f t="shared" si="2"/>
        <v>0.2955202066613396</v>
      </c>
      <c r="F3">
        <f t="shared" si="2"/>
        <v>0.38941834230865052</v>
      </c>
      <c r="G3">
        <f t="shared" si="2"/>
        <v>0.47942553860420301</v>
      </c>
      <c r="H3">
        <f t="shared" si="2"/>
        <v>0.56464247339503537</v>
      </c>
      <c r="I3">
        <f t="shared" si="2"/>
        <v>0.64421768723769102</v>
      </c>
      <c r="J3">
        <f t="shared" si="2"/>
        <v>0.71735609089952268</v>
      </c>
      <c r="K3">
        <f t="shared" si="2"/>
        <v>0.7833269096274833</v>
      </c>
      <c r="L3">
        <f t="shared" si="2"/>
        <v>0.84147098480789639</v>
      </c>
      <c r="M3">
        <f t="shared" si="2"/>
        <v>0.89120736006143531</v>
      </c>
      <c r="N3">
        <f t="shared" si="2"/>
        <v>0.93203908596722629</v>
      </c>
      <c r="O3">
        <f t="shared" si="2"/>
        <v>0.96355818541719296</v>
      </c>
      <c r="P3">
        <f t="shared" si="2"/>
        <v>0.98544972998846025</v>
      </c>
      <c r="Q3">
        <f t="shared" si="2"/>
        <v>0.99749498660405445</v>
      </c>
      <c r="R3">
        <f t="shared" si="2"/>
        <v>0.99957360304150511</v>
      </c>
      <c r="S3">
        <f t="shared" si="2"/>
        <v>0.99166481045246857</v>
      </c>
      <c r="T3">
        <f t="shared" si="2"/>
        <v>0.97384763087819504</v>
      </c>
      <c r="U3">
        <f t="shared" si="2"/>
        <v>0.94630008768741425</v>
      </c>
      <c r="V3">
        <f t="shared" si="2"/>
        <v>0.90929742682568149</v>
      </c>
      <c r="W3">
        <f t="shared" si="2"/>
        <v>0.86320936664887349</v>
      </c>
      <c r="X3">
        <f t="shared" si="2"/>
        <v>0.80849640381958987</v>
      </c>
      <c r="Y3">
        <f t="shared" si="2"/>
        <v>0.7457052121767197</v>
      </c>
      <c r="Z3">
        <f t="shared" si="2"/>
        <v>0.67546318055115029</v>
      </c>
      <c r="AA3">
        <f t="shared" si="2"/>
        <v>0.59847214410395577</v>
      </c>
      <c r="AB3">
        <f t="shared" si="2"/>
        <v>0.51550137182146338</v>
      </c>
      <c r="AC3">
        <f t="shared" si="2"/>
        <v>0.42737988023382895</v>
      </c>
      <c r="AD3">
        <f t="shared" si="2"/>
        <v>0.33498815015590383</v>
      </c>
      <c r="AE3">
        <f t="shared" si="2"/>
        <v>0.23924932921398112</v>
      </c>
      <c r="AF3">
        <f t="shared" si="2"/>
        <v>0.14112000805986591</v>
      </c>
      <c r="AG3">
        <f t="shared" si="2"/>
        <v>4.1580662433289159E-2</v>
      </c>
      <c r="AH3">
        <f t="shared" si="2"/>
        <v>-5.8374143427581418E-2</v>
      </c>
      <c r="AI3">
        <f t="shared" si="2"/>
        <v>-0.15774569414324996</v>
      </c>
      <c r="AJ3">
        <f t="shared" si="2"/>
        <v>-0.25554110202683294</v>
      </c>
      <c r="AK3">
        <f t="shared" si="2"/>
        <v>-0.3507832276896215</v>
      </c>
      <c r="AL3">
        <f t="shared" si="2"/>
        <v>-0.44252044329485407</v>
      </c>
      <c r="AM3">
        <f t="shared" si="2"/>
        <v>-0.52983614090849485</v>
      </c>
      <c r="AN3">
        <f t="shared" si="2"/>
        <v>-0.61185789094272069</v>
      </c>
      <c r="AO3">
        <f t="shared" si="2"/>
        <v>-0.68776615918397532</v>
      </c>
      <c r="AP3">
        <f t="shared" si="2"/>
        <v>-0.75680249530792942</v>
      </c>
      <c r="AQ3">
        <f t="shared" si="2"/>
        <v>-0.81827711106441137</v>
      </c>
      <c r="AR3">
        <f t="shared" si="2"/>
        <v>-0.87157577241358863</v>
      </c>
      <c r="AS3">
        <f t="shared" si="2"/>
        <v>-0.91616593674945523</v>
      </c>
      <c r="AT3">
        <f t="shared" si="2"/>
        <v>-0.95160207388951601</v>
      </c>
      <c r="AU3">
        <f t="shared" si="2"/>
        <v>-0.97753011766509701</v>
      </c>
      <c r="AV3">
        <f t="shared" si="2"/>
        <v>-0.99369100363346441</v>
      </c>
      <c r="AW3">
        <f t="shared" si="2"/>
        <v>-0.99992325756410083</v>
      </c>
      <c r="AX3">
        <f t="shared" si="2"/>
        <v>-0.99616460883584079</v>
      </c>
      <c r="AY3">
        <f t="shared" si="2"/>
        <v>-0.98245261262433281</v>
      </c>
      <c r="AZ3">
        <f t="shared" si="2"/>
        <v>-0.95892427466313901</v>
      </c>
      <c r="BA3">
        <f t="shared" si="2"/>
        <v>-0.92581468232773312</v>
      </c>
      <c r="BB3">
        <f t="shared" si="2"/>
        <v>-0.88345465572015447</v>
      </c>
      <c r="BC3">
        <f t="shared" si="2"/>
        <v>-0.8322674422239027</v>
      </c>
      <c r="BD3">
        <f t="shared" si="2"/>
        <v>-0.77276448755598937</v>
      </c>
      <c r="BE3">
        <f t="shared" si="2"/>
        <v>-0.70554032557039448</v>
      </c>
      <c r="BF3">
        <f t="shared" si="2"/>
        <v>-0.63126663787232429</v>
      </c>
      <c r="BG3">
        <f t="shared" si="2"/>
        <v>-0.55068554259764135</v>
      </c>
      <c r="BH3">
        <f t="shared" si="2"/>
        <v>-0.46460217941376131</v>
      </c>
      <c r="BI3">
        <f t="shared" si="2"/>
        <v>-0.37387666483024096</v>
      </c>
      <c r="BJ3">
        <f t="shared" si="2"/>
        <v>-0.27941549819893097</v>
      </c>
      <c r="BK3">
        <f t="shared" si="2"/>
        <v>-0.18216250427210112</v>
      </c>
      <c r="BL3">
        <f t="shared" si="2"/>
        <v>-8.30894028175026E-2</v>
      </c>
      <c r="BM3">
        <f t="shared" si="2"/>
        <v>1.6813900484343496E-2</v>
      </c>
      <c r="BN3">
        <f t="shared" si="2"/>
        <v>0.11654920485048659</v>
      </c>
      <c r="BO3">
        <f t="shared" ref="BO3:BS3" si="3">SIN(BO2)</f>
        <v>0.21511998808780858</v>
      </c>
      <c r="BP3">
        <f t="shared" si="3"/>
        <v>0.31154136351337108</v>
      </c>
      <c r="BQ3">
        <f t="shared" si="3"/>
        <v>0.40484992061659103</v>
      </c>
      <c r="BR3">
        <f t="shared" si="3"/>
        <v>0.49411335113860122</v>
      </c>
      <c r="BS3">
        <f t="shared" si="3"/>
        <v>0.57843976438819289</v>
      </c>
    </row>
    <row r="4" spans="2:71" x14ac:dyDescent="0.3">
      <c r="B4">
        <f>COS(B2)</f>
        <v>1</v>
      </c>
      <c r="C4">
        <f t="shared" ref="C4:BN4" si="4">COS(C2)</f>
        <v>0.99500416527802582</v>
      </c>
      <c r="D4">
        <f t="shared" si="4"/>
        <v>0.98006657784124163</v>
      </c>
      <c r="E4">
        <f t="shared" si="4"/>
        <v>0.95533648912560598</v>
      </c>
      <c r="F4">
        <f t="shared" si="4"/>
        <v>0.9210609940028851</v>
      </c>
      <c r="G4">
        <f t="shared" si="4"/>
        <v>0.87758256189037276</v>
      </c>
      <c r="H4">
        <f t="shared" si="4"/>
        <v>0.82533561490967833</v>
      </c>
      <c r="I4">
        <f t="shared" si="4"/>
        <v>0.7648421872844885</v>
      </c>
      <c r="J4">
        <f t="shared" si="4"/>
        <v>0.6967067093471655</v>
      </c>
      <c r="K4">
        <f t="shared" si="4"/>
        <v>0.6216099682706645</v>
      </c>
      <c r="L4">
        <f t="shared" si="4"/>
        <v>0.54030230586813977</v>
      </c>
      <c r="M4">
        <f t="shared" si="4"/>
        <v>0.45359612142557748</v>
      </c>
      <c r="N4">
        <f t="shared" si="4"/>
        <v>0.36235775447667362</v>
      </c>
      <c r="O4">
        <f t="shared" si="4"/>
        <v>0.26749882862458735</v>
      </c>
      <c r="P4">
        <f t="shared" si="4"/>
        <v>0.16996714290024081</v>
      </c>
      <c r="Q4">
        <f t="shared" si="4"/>
        <v>7.0737201667702684E-2</v>
      </c>
      <c r="R4">
        <f t="shared" si="4"/>
        <v>-2.9199522301289037E-2</v>
      </c>
      <c r="S4">
        <f t="shared" si="4"/>
        <v>-0.12884449429552508</v>
      </c>
      <c r="T4">
        <f t="shared" si="4"/>
        <v>-0.22720209469308753</v>
      </c>
      <c r="U4">
        <f t="shared" si="4"/>
        <v>-0.32328956686350396</v>
      </c>
      <c r="V4">
        <f t="shared" si="4"/>
        <v>-0.4161468365471428</v>
      </c>
      <c r="W4">
        <f t="shared" si="4"/>
        <v>-0.5048461045998579</v>
      </c>
      <c r="X4">
        <f t="shared" si="4"/>
        <v>-0.58850111725534626</v>
      </c>
      <c r="Y4">
        <f t="shared" si="4"/>
        <v>-0.66627602127982477</v>
      </c>
      <c r="Z4">
        <f t="shared" si="4"/>
        <v>-0.737393715541246</v>
      </c>
      <c r="AA4">
        <f t="shared" si="4"/>
        <v>-0.80114361554693425</v>
      </c>
      <c r="AB4">
        <f t="shared" si="4"/>
        <v>-0.85688875336894776</v>
      </c>
      <c r="AC4">
        <f t="shared" si="4"/>
        <v>-0.90407214201706165</v>
      </c>
      <c r="AD4">
        <f t="shared" si="4"/>
        <v>-0.94222234066865851</v>
      </c>
      <c r="AE4">
        <f t="shared" si="4"/>
        <v>-0.97095816514959077</v>
      </c>
      <c r="AF4">
        <f t="shared" si="4"/>
        <v>-0.98999249660044564</v>
      </c>
      <c r="AG4">
        <f t="shared" si="4"/>
        <v>-0.99913515027327948</v>
      </c>
      <c r="AH4">
        <f t="shared" si="4"/>
        <v>-0.99829477579475301</v>
      </c>
      <c r="AI4">
        <f t="shared" si="4"/>
        <v>-0.98747976990886466</v>
      </c>
      <c r="AJ4">
        <f t="shared" si="4"/>
        <v>-0.96679819257946054</v>
      </c>
      <c r="AK4">
        <f t="shared" si="4"/>
        <v>-0.93645668729079568</v>
      </c>
      <c r="AL4">
        <f t="shared" si="4"/>
        <v>-0.89675841633414621</v>
      </c>
      <c r="AM4">
        <f t="shared" si="4"/>
        <v>-0.84810003171040715</v>
      </c>
      <c r="AN4">
        <f t="shared" si="4"/>
        <v>-0.79096771191441551</v>
      </c>
      <c r="AO4">
        <f t="shared" si="4"/>
        <v>-0.72593230420013866</v>
      </c>
      <c r="AP4">
        <f t="shared" si="4"/>
        <v>-0.65364362086361061</v>
      </c>
      <c r="AQ4">
        <f t="shared" si="4"/>
        <v>-0.57482394653326774</v>
      </c>
      <c r="AR4">
        <f t="shared" si="4"/>
        <v>-0.49026082134069865</v>
      </c>
      <c r="AS4">
        <f t="shared" si="4"/>
        <v>-0.40079917207997462</v>
      </c>
      <c r="AT4">
        <f t="shared" si="4"/>
        <v>-0.30733286997841935</v>
      </c>
      <c r="AU4">
        <f t="shared" si="4"/>
        <v>-0.2107957994307797</v>
      </c>
      <c r="AV4">
        <f t="shared" si="4"/>
        <v>-0.11215252693505487</v>
      </c>
      <c r="AW4">
        <f t="shared" si="4"/>
        <v>-1.2388663462891449E-2</v>
      </c>
      <c r="AX4">
        <f t="shared" si="4"/>
        <v>8.749898343944551E-2</v>
      </c>
      <c r="AY4">
        <f t="shared" si="4"/>
        <v>0.18651236942257401</v>
      </c>
      <c r="AZ4">
        <f t="shared" si="4"/>
        <v>0.28366218546322458</v>
      </c>
      <c r="BA4">
        <f t="shared" si="4"/>
        <v>0.37797774271297857</v>
      </c>
      <c r="BB4">
        <f t="shared" si="4"/>
        <v>0.46851667130037478</v>
      </c>
      <c r="BC4">
        <f t="shared" si="4"/>
        <v>0.55437433617915854</v>
      </c>
      <c r="BD4">
        <f t="shared" si="4"/>
        <v>0.63469287594263191</v>
      </c>
      <c r="BE4">
        <f t="shared" si="4"/>
        <v>0.70866977429125755</v>
      </c>
      <c r="BF4">
        <f t="shared" si="4"/>
        <v>0.77556587851024728</v>
      </c>
      <c r="BG4">
        <f t="shared" si="4"/>
        <v>0.83471278483915734</v>
      </c>
      <c r="BH4">
        <f t="shared" si="4"/>
        <v>0.88551951694131681</v>
      </c>
      <c r="BI4">
        <f t="shared" si="4"/>
        <v>0.92747843074403391</v>
      </c>
      <c r="BJ4">
        <f t="shared" si="4"/>
        <v>0.96017028665036452</v>
      </c>
      <c r="BK4">
        <f t="shared" si="4"/>
        <v>0.9832684384425836</v>
      </c>
      <c r="BL4">
        <f t="shared" si="4"/>
        <v>0.99654209702321694</v>
      </c>
      <c r="BM4">
        <f t="shared" si="4"/>
        <v>0.99985863638341521</v>
      </c>
      <c r="BN4">
        <f t="shared" si="4"/>
        <v>0.99318491875819348</v>
      </c>
      <c r="BO4">
        <f t="shared" ref="BO4:BS4" si="5">COS(BO2)</f>
        <v>0.97658762572802504</v>
      </c>
      <c r="BP4">
        <f t="shared" si="5"/>
        <v>0.95023259195853182</v>
      </c>
      <c r="BQ4">
        <f t="shared" si="5"/>
        <v>0.91438314823532263</v>
      </c>
      <c r="BR4">
        <f t="shared" si="5"/>
        <v>0.86939749034982916</v>
      </c>
      <c r="BS4">
        <f t="shared" si="5"/>
        <v>0.81572510012536203</v>
      </c>
    </row>
    <row r="7" spans="2:71" x14ac:dyDescent="0.3">
      <c r="G7">
        <f>COS(0.3)</f>
        <v>0.95533648912560598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 - Fixed</vt:lpstr>
      <vt:lpstr>PE - RoPE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Priyanath Maji</dc:creator>
  <cp:lastModifiedBy>Priyanath Maji</cp:lastModifiedBy>
  <dcterms:created xsi:type="dcterms:W3CDTF">2025-12-05T00:37:52Z</dcterms:created>
  <dcterms:modified xsi:type="dcterms:W3CDTF">2025-12-18T03:10:11Z</dcterms:modified>
</cp:coreProperties>
</file>